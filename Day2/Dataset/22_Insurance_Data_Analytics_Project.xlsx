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aw_Data" sheetId="1" state="visible" r:id="rId3"/>
    <sheet name="Clean_Data" sheetId="2" state="visible" r:id="rId4"/>
    <sheet name="Cleaning_Log" sheetId="3" state="visible" r:id="rId5"/>
    <sheet name="Analysis" sheetId="4" state="visible" r:id="rId6"/>
    <sheet name="PivotTables" sheetId="5" state="visible" r:id="rId7"/>
    <sheet name="Dashboard_Claims" sheetId="6" state="visible" r:id="rId8"/>
    <sheet name="Dashboard_Profile" sheetId="7" state="visible" r:id="rId9"/>
    <sheet name="Findings" sheetId="8" state="visible" r:id="rId10"/>
  </sheets>
  <definedNames>
    <definedName function="false" hidden="false" localSheetId="3" name="_xlnm.Print_Area" vbProcedure="false">Analysis!$A$1:$F$72</definedName>
    <definedName function="false" hidden="false" localSheetId="1" name="_xlnm.Print_Area" vbProcedure="false">Clean_Data!$A$1:$Q$281</definedName>
    <definedName function="false" hidden="false" localSheetId="2" name="_xlnm.Print_Area" vbProcedure="false">Cleaning_Log!$A$1:$D$20</definedName>
    <definedName function="false" hidden="false" localSheetId="5" name="_xlnm.Print_Area" vbProcedure="false">Dashboard_Claims!$A$1:$U$45</definedName>
    <definedName function="false" hidden="false" localSheetId="6" name="_xlnm.Print_Area" vbProcedure="false">Dashboard_Profile!$A$1:$U$45</definedName>
    <definedName function="false" hidden="false" localSheetId="7" name="_xlnm.Print_Area" vbProcedure="false">Findings!$A$1:$B$25</definedName>
    <definedName function="false" hidden="false" localSheetId="4" name="_xlnm.Print_Area" vbProcedure="false">PivotTables!$A$1:$H$64</definedName>
    <definedName function="false" hidden="false" localSheetId="0" name="_xlnm.Print_Area" vbProcedure="false">Raw_Data!$A$1:$G$304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<sst xmlns="http://schemas.openxmlformats.org/spreadsheetml/2006/main" count="2261" uniqueCount="493">
  <si>
    <t xml:space="preserve">RAW DATA - ORIGINAL, UNMODIFIED (DO NOT EDIT)</t>
  </si>
  <si>
    <t xml:space="preserve">Policy_ID</t>
  </si>
  <si>
    <t xml:space="preserve">Policy_Date</t>
  </si>
  <si>
    <t xml:space="preserve">Policy_Type</t>
  </si>
  <si>
    <t xml:space="preserve">Customer_Age</t>
  </si>
  <si>
    <t xml:space="preserve">Premium</t>
  </si>
  <si>
    <t xml:space="preserve">Claim_Amount</t>
  </si>
  <si>
    <t xml:space="preserve">Claim_Status</t>
  </si>
  <si>
    <t xml:space="preserve">POL00110</t>
  </si>
  <si>
    <t xml:space="preserve">Life</t>
  </si>
  <si>
    <t xml:space="preserve">No Claim</t>
  </si>
  <si>
    <t xml:space="preserve">POL00229</t>
  </si>
  <si>
    <t xml:space="preserve">Motor</t>
  </si>
  <si>
    <t xml:space="preserve">Pending</t>
  </si>
  <si>
    <t xml:space="preserve">POL00098</t>
  </si>
  <si>
    <t xml:space="preserve">POL00220</t>
  </si>
  <si>
    <t xml:space="preserve">Property</t>
  </si>
  <si>
    <t xml:space="preserve">Approved</t>
  </si>
  <si>
    <t xml:space="preserve">POL00088</t>
  </si>
  <si>
    <t xml:space="preserve">Health</t>
  </si>
  <si>
    <t xml:space="preserve">POL00112</t>
  </si>
  <si>
    <t xml:space="preserve">POL00167</t>
  </si>
  <si>
    <t xml:space="preserve">POL00276</t>
  </si>
  <si>
    <t xml:space="preserve">POL00281</t>
  </si>
  <si>
    <t xml:space="preserve">POL00066</t>
  </si>
  <si>
    <t xml:space="preserve">POL00124</t>
  </si>
  <si>
    <t xml:space="preserve">POL00206</t>
  </si>
  <si>
    <t xml:space="preserve">POL00020</t>
  </si>
  <si>
    <t xml:space="preserve">POL00219</t>
  </si>
  <si>
    <t xml:space="preserve">POL00238</t>
  </si>
  <si>
    <t xml:space="preserve">Rejected</t>
  </si>
  <si>
    <t xml:space="preserve">POL00213</t>
  </si>
  <si>
    <t xml:space="preserve">POL00108</t>
  </si>
  <si>
    <t xml:space="preserve">POL00081</t>
  </si>
  <si>
    <t xml:space="preserve">POL00013</t>
  </si>
  <si>
    <t xml:space="preserve">POL00168</t>
  </si>
  <si>
    <t xml:space="preserve">POL00215</t>
  </si>
  <si>
    <t xml:space="preserve">POL00267</t>
  </si>
  <si>
    <t xml:space="preserve">Unknown</t>
  </si>
  <si>
    <t xml:space="preserve">POL00223</t>
  </si>
  <si>
    <t xml:space="preserve">Travel</t>
  </si>
  <si>
    <t xml:space="preserve">POL00082</t>
  </si>
  <si>
    <t xml:space="preserve">POL00160</t>
  </si>
  <si>
    <t xml:space="preserve">POL00178</t>
  </si>
  <si>
    <t xml:space="preserve">POL00072</t>
  </si>
  <si>
    <t xml:space="preserve">POL00083</t>
  </si>
  <si>
    <t xml:space="preserve">POL00203</t>
  </si>
  <si>
    <t xml:space="preserve">POL00192</t>
  </si>
  <si>
    <t xml:space="preserve">POL00075</t>
  </si>
  <si>
    <t xml:space="preserve">POL00139</t>
  </si>
  <si>
    <t xml:space="preserve">POL00113</t>
  </si>
  <si>
    <t xml:space="preserve">POL00037</t>
  </si>
  <si>
    <t xml:space="preserve">POL00078</t>
  </si>
  <si>
    <t xml:space="preserve">POL00222</t>
  </si>
  <si>
    <t xml:space="preserve">POL00076</t>
  </si>
  <si>
    <t xml:space="preserve">POL00077</t>
  </si>
  <si>
    <t xml:space="preserve">POL00154</t>
  </si>
  <si>
    <t xml:space="preserve">POL00095</t>
  </si>
  <si>
    <t xml:space="preserve">life</t>
  </si>
  <si>
    <t xml:space="preserve">approved</t>
  </si>
  <si>
    <t xml:space="preserve">POL00232</t>
  </si>
  <si>
    <t xml:space="preserve">POL00101</t>
  </si>
  <si>
    <t xml:space="preserve">POL00048</t>
  </si>
  <si>
    <t xml:space="preserve">POL00175</t>
  </si>
  <si>
    <t xml:space="preserve">POL00210</t>
  </si>
  <si>
    <t xml:space="preserve">POL00097</t>
  </si>
  <si>
    <t xml:space="preserve">POL00155</t>
  </si>
  <si>
    <t xml:space="preserve">POL00027</t>
  </si>
  <si>
    <t xml:space="preserve">POL00253</t>
  </si>
  <si>
    <t xml:space="preserve">POL00202</t>
  </si>
  <si>
    <t xml:space="preserve">POL00010</t>
  </si>
  <si>
    <t xml:space="preserve">POL00173</t>
  </si>
  <si>
    <t xml:space="preserve">POL00001</t>
  </si>
  <si>
    <t xml:space="preserve">POL00292</t>
  </si>
  <si>
    <t xml:space="preserve">POL00039</t>
  </si>
  <si>
    <t xml:space="preserve">POL00217</t>
  </si>
  <si>
    <t xml:space="preserve">POL00174</t>
  </si>
  <si>
    <t xml:space="preserve">POL00055</t>
  </si>
  <si>
    <t xml:space="preserve">POL00284</t>
  </si>
  <si>
    <t xml:space="preserve">POL00231</t>
  </si>
  <si>
    <t xml:space="preserve">POL00277</t>
  </si>
  <si>
    <t xml:space="preserve">POL00226</t>
  </si>
  <si>
    <t xml:space="preserve">POL00043</t>
  </si>
  <si>
    <t xml:space="preserve">POL00179</t>
  </si>
  <si>
    <t xml:space="preserve">POL00247</t>
  </si>
  <si>
    <t xml:space="preserve">POL00031</t>
  </si>
  <si>
    <t xml:space="preserve">motor</t>
  </si>
  <si>
    <t xml:space="preserve">POL00021</t>
  </si>
  <si>
    <t xml:space="preserve">POL00068</t>
  </si>
  <si>
    <t xml:space="preserve">POL00126</t>
  </si>
  <si>
    <t xml:space="preserve">POL00102</t>
  </si>
  <si>
    <t xml:space="preserve">POL00291</t>
  </si>
  <si>
    <t xml:space="preserve">POL00184</t>
  </si>
  <si>
    <t xml:space="preserve">POL00086</t>
  </si>
  <si>
    <t xml:space="preserve">POL00240</t>
  </si>
  <si>
    <t xml:space="preserve">POL00224</t>
  </si>
  <si>
    <t xml:space="preserve">POL00141</t>
  </si>
  <si>
    <t xml:space="preserve">POL00239</t>
  </si>
  <si>
    <t xml:space="preserve">POL00235</t>
  </si>
  <si>
    <t xml:space="preserve">POL00280</t>
  </si>
  <si>
    <t xml:space="preserve">POL00147</t>
  </si>
  <si>
    <t xml:space="preserve">POL00089</t>
  </si>
  <si>
    <t xml:space="preserve">POL00272</t>
  </si>
  <si>
    <t xml:space="preserve">POL00146</t>
  </si>
  <si>
    <t xml:space="preserve">POL00111</t>
  </si>
  <si>
    <t xml:space="preserve">NO CLAIM</t>
  </si>
  <si>
    <t xml:space="preserve">POL00004</t>
  </si>
  <si>
    <t xml:space="preserve">POL00093</t>
  </si>
  <si>
    <t xml:space="preserve">POL00044</t>
  </si>
  <si>
    <t xml:space="preserve">POL00270</t>
  </si>
  <si>
    <t xml:space="preserve">POL00241</t>
  </si>
  <si>
    <t xml:space="preserve">POL00003</t>
  </si>
  <si>
    <t xml:space="preserve">POL00191</t>
  </si>
  <si>
    <t xml:space="preserve">POL00161</t>
  </si>
  <si>
    <t xml:space="preserve">POL00227</t>
  </si>
  <si>
    <t xml:space="preserve">POL00283</t>
  </si>
  <si>
    <t xml:space="preserve">POL00286</t>
  </si>
  <si>
    <t xml:space="preserve">POL00172</t>
  </si>
  <si>
    <t xml:space="preserve">POL00252</t>
  </si>
  <si>
    <t xml:space="preserve">POL00182</t>
  </si>
  <si>
    <t xml:space="preserve">POL00133</t>
  </si>
  <si>
    <t xml:space="preserve">POL00158</t>
  </si>
  <si>
    <t xml:space="preserve">POL00149</t>
  </si>
  <si>
    <t xml:space="preserve">-</t>
  </si>
  <si>
    <t xml:space="preserve">POL00029</t>
  </si>
  <si>
    <t xml:space="preserve">POL00079</t>
  </si>
  <si>
    <t xml:space="preserve">POL00019</t>
  </si>
  <si>
    <t xml:space="preserve">POL00125</t>
  </si>
  <si>
    <t xml:space="preserve">POL00274</t>
  </si>
  <si>
    <t xml:space="preserve">POL00221</t>
  </si>
  <si>
    <t xml:space="preserve">POL00026</t>
  </si>
  <si>
    <t xml:space="preserve">POL00212</t>
  </si>
  <si>
    <t xml:space="preserve">POL00080</t>
  </si>
  <si>
    <t xml:space="preserve">POL00245</t>
  </si>
  <si>
    <t xml:space="preserve">POL00165</t>
  </si>
  <si>
    <t xml:space="preserve">POL00131</t>
  </si>
  <si>
    <t xml:space="preserve">POL00049</t>
  </si>
  <si>
    <t xml:space="preserve">POL00237</t>
  </si>
  <si>
    <t xml:space="preserve">no claim</t>
  </si>
  <si>
    <t xml:space="preserve">POL00050</t>
  </si>
  <si>
    <t xml:space="preserve">POL00047</t>
  </si>
  <si>
    <t xml:space="preserve">POL00246</t>
  </si>
  <si>
    <t xml:space="preserve">POL00008</t>
  </si>
  <si>
    <t xml:space="preserve">POL00002</t>
  </si>
  <si>
    <t xml:space="preserve">POL00211</t>
  </si>
  <si>
    <t xml:space="preserve">POL00216</t>
  </si>
  <si>
    <t xml:space="preserve">POL00096</t>
  </si>
  <si>
    <t xml:space="preserve">POL00073</t>
  </si>
  <si>
    <t xml:space="preserve">POL00118</t>
  </si>
  <si>
    <t xml:space="preserve">POL00214</t>
  </si>
  <si>
    <t xml:space="preserve">POL00064</t>
  </si>
  <si>
    <t xml:space="preserve">POL00188</t>
  </si>
  <si>
    <t xml:space="preserve">POL00137</t>
  </si>
  <si>
    <t xml:space="preserve">POL00228</t>
  </si>
  <si>
    <t xml:space="preserve">POL00218</t>
  </si>
  <si>
    <t xml:space="preserve">POL00273</t>
  </si>
  <si>
    <t xml:space="preserve">POL00106</t>
  </si>
  <si>
    <t xml:space="preserve">POL00116</t>
  </si>
  <si>
    <t xml:space="preserve">POL00121</t>
  </si>
  <si>
    <t xml:space="preserve">POL00056</t>
  </si>
  <si>
    <t xml:space="preserve">POL00150</t>
  </si>
  <si>
    <t xml:space="preserve">POL00197</t>
  </si>
  <si>
    <t xml:space="preserve">POL00140</t>
  </si>
  <si>
    <t xml:space="preserve">POL00012</t>
  </si>
  <si>
    <t xml:space="preserve">POL00006</t>
  </si>
  <si>
    <t xml:space="preserve">POL00242</t>
  </si>
  <si>
    <t xml:space="preserve">POL00148</t>
  </si>
  <si>
    <t xml:space="preserve">POL00023</t>
  </si>
  <si>
    <t xml:space="preserve">POL00046</t>
  </si>
  <si>
    <t xml:space="preserve">POL00278</t>
  </si>
  <si>
    <t xml:space="preserve">POL00094</t>
  </si>
  <si>
    <t xml:space="preserve">POL00129</t>
  </si>
  <si>
    <t xml:space="preserve">POL00071</t>
  </si>
  <si>
    <t xml:space="preserve">POL00063</t>
  </si>
  <si>
    <t xml:space="preserve">POL00183</t>
  </si>
  <si>
    <t xml:space="preserve">POL00194</t>
  </si>
  <si>
    <t xml:space="preserve">POL00033</t>
  </si>
  <si>
    <t xml:space="preserve">POL00164</t>
  </si>
  <si>
    <t xml:space="preserve">POL00120</t>
  </si>
  <si>
    <t xml:space="preserve">POL00090</t>
  </si>
  <si>
    <t xml:space="preserve">POL00209</t>
  </si>
  <si>
    <t xml:space="preserve">POL00028</t>
  </si>
  <si>
    <t xml:space="preserve">POL00181</t>
  </si>
  <si>
    <t xml:space="preserve">POL00005</t>
  </si>
  <si>
    <t xml:space="preserve">POL00250</t>
  </si>
  <si>
    <t xml:space="preserve">POL00035</t>
  </si>
  <si>
    <t xml:space="preserve">POL00205</t>
  </si>
  <si>
    <t xml:space="preserve">POL00036</t>
  </si>
  <si>
    <t xml:space="preserve">POL00285</t>
  </si>
  <si>
    <t xml:space="preserve">POL00084</t>
  </si>
  <si>
    <t xml:space="preserve">POL00152</t>
  </si>
  <si>
    <t xml:space="preserve">POL00264</t>
  </si>
  <si>
    <t xml:space="preserve">POL00122</t>
  </si>
  <si>
    <t xml:space="preserve">POL00132</t>
  </si>
  <si>
    <t xml:space="preserve">POL00053</t>
  </si>
  <si>
    <t xml:space="preserve">POL00085</t>
  </si>
  <si>
    <t xml:space="preserve">POL00104</t>
  </si>
  <si>
    <t xml:space="preserve">POL00187</t>
  </si>
  <si>
    <t xml:space="preserve">POL00268</t>
  </si>
  <si>
    <t xml:space="preserve">POL00162</t>
  </si>
  <si>
    <t xml:space="preserve">POL00255</t>
  </si>
  <si>
    <t xml:space="preserve">POL00266</t>
  </si>
  <si>
    <t xml:space="preserve">POL00065</t>
  </si>
  <si>
    <t xml:space="preserve">POL00225</t>
  </si>
  <si>
    <t xml:space="preserve">POL00251</t>
  </si>
  <si>
    <t xml:space="preserve">POL00014</t>
  </si>
  <si>
    <t xml:space="preserve">POL00171</t>
  </si>
  <si>
    <t xml:space="preserve">POL00051</t>
  </si>
  <si>
    <t xml:space="preserve">POL00070</t>
  </si>
  <si>
    <t xml:space="preserve">POL00193</t>
  </si>
  <si>
    <t xml:space="preserve">POL00034</t>
  </si>
  <si>
    <t xml:space="preserve">POL00038</t>
  </si>
  <si>
    <t xml:space="preserve">POL00236</t>
  </si>
  <si>
    <t xml:space="preserve">TRAVEL</t>
  </si>
  <si>
    <t xml:space="preserve">POL00138</t>
  </si>
  <si>
    <t xml:space="preserve">POL00195</t>
  </si>
  <si>
    <t xml:space="preserve">POL00067</t>
  </si>
  <si>
    <t xml:space="preserve">POL00159</t>
  </si>
  <si>
    <t xml:space="preserve">POL00009</t>
  </si>
  <si>
    <t xml:space="preserve">POL00015</t>
  </si>
  <si>
    <t xml:space="preserve">POL00115</t>
  </si>
  <si>
    <t xml:space="preserve">POL00060</t>
  </si>
  <si>
    <t xml:space="preserve">POL00275</t>
  </si>
  <si>
    <t xml:space="preserve">POL00189</t>
  </si>
  <si>
    <t xml:space="preserve">POL00208</t>
  </si>
  <si>
    <t xml:space="preserve">POL00259</t>
  </si>
  <si>
    <t xml:space="preserve">POL00200</t>
  </si>
  <si>
    <t xml:space="preserve">POL00109</t>
  </si>
  <si>
    <t xml:space="preserve">POL00134</t>
  </si>
  <si>
    <t xml:space="preserve">POL00190</t>
  </si>
  <si>
    <t xml:space="preserve">POL00123</t>
  </si>
  <si>
    <t xml:space="preserve">POL00282</t>
  </si>
  <si>
    <t xml:space="preserve">POL00069</t>
  </si>
  <si>
    <t xml:space="preserve">POL00201</t>
  </si>
  <si>
    <t xml:space="preserve">POL00144</t>
  </si>
  <si>
    <t xml:space="preserve">POL00198</t>
  </si>
  <si>
    <t xml:space="preserve">POL00143</t>
  </si>
  <si>
    <t xml:space="preserve">POL00058</t>
  </si>
  <si>
    <t xml:space="preserve">POL00062</t>
  </si>
  <si>
    <t xml:space="preserve">POL00119</t>
  </si>
  <si>
    <t xml:space="preserve">POL00061</t>
  </si>
  <si>
    <t xml:space="preserve">POL00057</t>
  </si>
  <si>
    <t xml:space="preserve">POL00170</t>
  </si>
  <si>
    <t xml:space="preserve">POL00022</t>
  </si>
  <si>
    <t xml:space="preserve">health</t>
  </si>
  <si>
    <t xml:space="preserve">POL00042</t>
  </si>
  <si>
    <t xml:space="preserve">POL00100</t>
  </si>
  <si>
    <t xml:space="preserve">POL00016</t>
  </si>
  <si>
    <t xml:space="preserve">POL00099</t>
  </si>
  <si>
    <t xml:space="preserve">POL00244</t>
  </si>
  <si>
    <t xml:space="preserve">POL00151</t>
  </si>
  <si>
    <t xml:space="preserve">POL00207</t>
  </si>
  <si>
    <t xml:space="preserve">POL00103</t>
  </si>
  <si>
    <t xml:space="preserve">POL00024</t>
  </si>
  <si>
    <t xml:space="preserve">POL00045</t>
  </si>
  <si>
    <t xml:space="preserve">POL00176</t>
  </si>
  <si>
    <t xml:space="preserve">POL00185</t>
  </si>
  <si>
    <t xml:space="preserve">APPROVED</t>
  </si>
  <si>
    <t xml:space="preserve">POL00279</t>
  </si>
  <si>
    <t xml:space="preserve">POL00177</t>
  </si>
  <si>
    <t xml:space="preserve">POL00157</t>
  </si>
  <si>
    <t xml:space="preserve">POL00041</t>
  </si>
  <si>
    <t xml:space="preserve">POL00262</t>
  </si>
  <si>
    <t xml:space="preserve">POL00186</t>
  </si>
  <si>
    <t xml:space="preserve">POL00030</t>
  </si>
  <si>
    <t xml:space="preserve">POL00163</t>
  </si>
  <si>
    <t xml:space="preserve">POL00142</t>
  </si>
  <si>
    <t xml:space="preserve">POL00249</t>
  </si>
  <si>
    <t xml:space="preserve">POL00105</t>
  </si>
  <si>
    <t xml:space="preserve">POL00243</t>
  </si>
  <si>
    <t xml:space="preserve">POL00011</t>
  </si>
  <si>
    <t xml:space="preserve">POL00166</t>
  </si>
  <si>
    <t xml:space="preserve">POL00153</t>
  </si>
  <si>
    <t xml:space="preserve">POL00269</t>
  </si>
  <si>
    <t xml:space="preserve">POL00230</t>
  </si>
  <si>
    <t xml:space="preserve">POL00091</t>
  </si>
  <si>
    <t xml:space="preserve">POL00092</t>
  </si>
  <si>
    <t xml:space="preserve">POL00289</t>
  </si>
  <si>
    <t xml:space="preserve">POL00007</t>
  </si>
  <si>
    <t xml:space="preserve">POL00017</t>
  </si>
  <si>
    <t xml:space="preserve">POL00087</t>
  </si>
  <si>
    <t xml:space="preserve">POL00257</t>
  </si>
  <si>
    <t xml:space="preserve">POL00052</t>
  </si>
  <si>
    <t xml:space="preserve">POL00054</t>
  </si>
  <si>
    <t xml:space="preserve">POL00288</t>
  </si>
  <si>
    <t xml:space="preserve">POL00135</t>
  </si>
  <si>
    <t xml:space="preserve">POL00204</t>
  </si>
  <si>
    <t xml:space="preserve">POL00287</t>
  </si>
  <si>
    <t xml:space="preserve">POL00032</t>
  </si>
  <si>
    <t xml:space="preserve">POL00271</t>
  </si>
  <si>
    <t xml:space="preserve">POL00074</t>
  </si>
  <si>
    <t xml:space="preserve">POL00156</t>
  </si>
  <si>
    <t xml:space="preserve">POL00025</t>
  </si>
  <si>
    <t xml:space="preserve">POL00256</t>
  </si>
  <si>
    <t xml:space="preserve">POL00196</t>
  </si>
  <si>
    <t xml:space="preserve">POL00233</t>
  </si>
  <si>
    <t xml:space="preserve">POL00254</t>
  </si>
  <si>
    <t xml:space="preserve">POL00169</t>
  </si>
  <si>
    <t xml:space="preserve">POL00260</t>
  </si>
  <si>
    <t xml:space="preserve">POL00130</t>
  </si>
  <si>
    <t xml:space="preserve">POL00107</t>
  </si>
  <si>
    <t xml:space="preserve">POL00199</t>
  </si>
  <si>
    <t xml:space="preserve">POL00258</t>
  </si>
  <si>
    <t xml:space="preserve">POL00136</t>
  </si>
  <si>
    <t xml:space="preserve">POL00234</t>
  </si>
  <si>
    <t xml:space="preserve">CLEAN DATA - Standardized, De-duplicated, Missing Values Handled (see Cleaning_Log sheet)</t>
  </si>
  <si>
    <t xml:space="preserve">Row_No</t>
  </si>
  <si>
    <t xml:space="preserve">Data_Quality_Notes</t>
  </si>
  <si>
    <t xml:space="preserve">Policy_Year</t>
  </si>
  <si>
    <t xml:space="preserve">Policy_Month</t>
  </si>
  <si>
    <t xml:space="preserve">Age_Group</t>
  </si>
  <si>
    <t xml:space="preserve">Claim_Ratio</t>
  </si>
  <si>
    <t xml:space="preserve">Priority_Flag</t>
  </si>
  <si>
    <t xml:space="preserve">Policy_ID_Prefix</t>
  </si>
  <si>
    <t xml:space="preserve">Type_Upper</t>
  </si>
  <si>
    <t xml:space="preserve">Days_Open</t>
  </si>
  <si>
    <t xml:space="preserve">Date imputed</t>
  </si>
  <si>
    <t xml:space="preserve">Claim amount imputed</t>
  </si>
  <si>
    <t xml:space="preserve">OK</t>
  </si>
  <si>
    <t xml:space="preserve">Age imputed</t>
  </si>
  <si>
    <t xml:space="preserve">Premium imputed</t>
  </si>
  <si>
    <t xml:space="preserve">Claim_Status imputed</t>
  </si>
  <si>
    <t xml:space="preserve">Policy_Type imputed</t>
  </si>
  <si>
    <t xml:space="preserve">Claim amount imputed; Date imputed</t>
  </si>
  <si>
    <t xml:space="preserve">Policy_Type imputed; Claim_Status imputed</t>
  </si>
  <si>
    <t xml:space="preserve">DATA CLEANING LOG - What was found, what changed, and why</t>
  </si>
  <si>
    <t xml:space="preserve">Original records: 300      Final clean records: 278      Records removed: 22</t>
  </si>
  <si>
    <t xml:space="preserve">Field</t>
  </si>
  <si>
    <t xml:space="preserve">Issue Found</t>
  </si>
  <si>
    <t xml:space="preserve">Records Affected</t>
  </si>
  <si>
    <t xml:space="preserve">Action Taken</t>
  </si>
  <si>
    <t xml:space="preserve">Missing (blank) values</t>
  </si>
  <si>
    <t xml:space="preserve">Row deleted - Policy_ID is the unique primary key and cannot be reliably reconstructed</t>
  </si>
  <si>
    <t xml:space="preserve">All fields</t>
  </si>
  <si>
    <t xml:space="preserve">Fully duplicated records (same ID + all values)</t>
  </si>
  <si>
    <t xml:space="preserve">Duplicate rows removed, first occurrence kept</t>
  </si>
  <si>
    <t xml:space="preserve">Policy_ID / Premium</t>
  </si>
  <si>
    <t xml:space="preserve">Same Policy_ID repeated with one row showing an invalid negative premium</t>
  </si>
  <si>
    <t xml:space="preserve">Row with the invalid negative premium removed, valid row kept</t>
  </si>
  <si>
    <t xml:space="preserve">Inconsistent text case (e.g. "motor", "TRAVEL")</t>
  </si>
  <si>
    <t xml:space="preserve">Standardized to Title Case</t>
  </si>
  <si>
    <t xml:space="preserve">Missing values</t>
  </si>
  <si>
    <t xml:space="preserve">Replaced with the most common category ("Health"), flagged</t>
  </si>
  <si>
    <t xml:space="preserve">Inconsistent text case (e.g. "approved", "NO CLAIM")</t>
  </si>
  <si>
    <t xml:space="preserve">Replaced with "Unknown" (outcome cannot be assumed), flagged</t>
  </si>
  <si>
    <t xml:space="preserve">Text value "Unknown"</t>
  </si>
  <si>
    <t xml:space="preserve">Converted to missing, then imputed</t>
  </si>
  <si>
    <t xml:space="preserve">Impossible values (&lt;18 or &gt;100, e.g. 10 and 124)</t>
  </si>
  <si>
    <t xml:space="preserve">Missing values (blank + invalid, total)</t>
  </si>
  <si>
    <t xml:space="preserve">Replaced with the average age for that Policy_Type (falls back to overall average)</t>
  </si>
  <si>
    <t xml:space="preserve">Negative values (impossible)</t>
  </si>
  <si>
    <t xml:space="preserve">Replaced with the average premium for that Policy_Type</t>
  </si>
  <si>
    <t xml:space="preserve">Literal text "-"</t>
  </si>
  <si>
    <t xml:space="preserve">Converted to missing, then handled with the rules below</t>
  </si>
  <si>
    <t xml:space="preserve">Negative value (e.g. -10, impossible)</t>
  </si>
  <si>
    <t xml:space="preserve">Missing where Claim_Status = "No Claim"</t>
  </si>
  <si>
    <t xml:space="preserve">Replaced with 0 (no claim was filed)</t>
  </si>
  <si>
    <t xml:space="preserve">Missing where a claim was actually filed</t>
  </si>
  <si>
    <t xml:space="preserve">Replaced with the average claim amount for that Policy_Type</t>
  </si>
  <si>
    <t xml:space="preserve">Replaced with the dataset median date (2025-10-09); flagged so date-trend charts can be checked</t>
  </si>
  <si>
    <t xml:space="preserve">DATA ANALYSIS - Formulas &amp; Calculations</t>
  </si>
  <si>
    <t xml:space="preserve">Part D.1 - Basic Calculations (SUM, AVERAGE, COUNT, MIN, MAX)</t>
  </si>
  <si>
    <t xml:space="preserve">Metric</t>
  </si>
  <si>
    <t xml:space="preserve">Premium ($)</t>
  </si>
  <si>
    <t xml:space="preserve">Claim Amount ($)</t>
  </si>
  <si>
    <t xml:space="preserve">Total (SUM)</t>
  </si>
  <si>
    <t xml:space="preserve">Average (AVERAGE)</t>
  </si>
  <si>
    <t xml:space="preserve">Count (COUNT)</t>
  </si>
  <si>
    <t xml:space="preserve">Minimum (MIN)</t>
  </si>
  <si>
    <t xml:space="preserve">Maximum (MAX)</t>
  </si>
  <si>
    <t xml:space="preserve">Part D.2 - Conditional Functions (COUNTIF, SUMIF, AVERAGEIF, SUMIFS) by Policy Type</t>
  </si>
  <si>
    <t xml:space="preserve">Policy Type</t>
  </si>
  <si>
    <t xml:space="preserve">Policy Count (COUNTIF)</t>
  </si>
  <si>
    <t xml:space="preserve">Total Premium (SUMIF)</t>
  </si>
  <si>
    <t xml:space="preserve">Avg Claim Amount (AVERAGEIF)</t>
  </si>
  <si>
    <t xml:space="preserve">Approved Claims Total (SUMIFS)</t>
  </si>
  <si>
    <t xml:space="preserve">TOTAL</t>
  </si>
  <si>
    <t xml:space="preserve">Part D.3 - Logical Functions (IF, IFS, AND, OR)</t>
  </si>
  <si>
    <t xml:space="preserve">Every record in Clean_Data has an Age_Group (IFS), Priority_Flag (IF + AND + OR), and Claim_Ratio (IF) column.</t>
  </si>
  <si>
    <t xml:space="preserve">Priority Flag</t>
  </si>
  <si>
    <t xml:space="preserve">Number of Records (COUNTIF)</t>
  </si>
  <si>
    <t xml:space="preserve">High-Value Approved</t>
  </si>
  <si>
    <t xml:space="preserve">Needs Review</t>
  </si>
  <si>
    <t xml:space="preserve">Normal</t>
  </si>
  <si>
    <t xml:space="preserve">Part E - Date Analysis</t>
  </si>
  <si>
    <t xml:space="preserve">Today's Date (TODAY)</t>
  </si>
  <si>
    <t xml:space="preserve">Current Timestamp (NOW)</t>
  </si>
  <si>
    <t xml:space="preserve">Earliest Policy Date (MIN)</t>
  </si>
  <si>
    <t xml:space="preserve">Latest Policy Date (MAX)</t>
  </si>
  <si>
    <t xml:space="preserve">Policies Written in 2025 (YEAR)</t>
  </si>
  <si>
    <t xml:space="preserve">Policies Written in 2026 (YEAR)</t>
  </si>
  <si>
    <t xml:space="preserve">Avg Working Days Open (NETWORKDAYS)</t>
  </si>
  <si>
    <t xml:space="preserve">Part C - Text Functions (LEFT, UPPER, TRIM, LEN, CONCAT)</t>
  </si>
  <si>
    <t xml:space="preserve">Example</t>
  </si>
  <si>
    <t xml:space="preserve">Formula Used</t>
  </si>
  <si>
    <t xml:space="preserve">Result</t>
  </si>
  <si>
    <t xml:space="preserve">Policy ID prefix (first 3 letters)</t>
  </si>
  <si>
    <t xml:space="preserve">LEFT([Policy_ID],3)</t>
  </si>
  <si>
    <t xml:space="preserve">Policy Type in uppercase</t>
  </si>
  <si>
    <t xml:space="preserve">UPPER([Policy_Type])</t>
  </si>
  <si>
    <t xml:space="preserve">Trimmed claim status (removes extra spaces)</t>
  </si>
  <si>
    <t xml:space="preserve">TRIM([Claim_Status])</t>
  </si>
  <si>
    <t xml:space="preserve">Combined ID and Type (CONCAT)</t>
  </si>
  <si>
    <t xml:space="preserve">CONCAT([Policy_ID]," - ",[Policy_Type])</t>
  </si>
  <si>
    <t xml:space="preserve">Note: These text functions are also applied to every row of Clean_Data (Policy_ID_Prefix, Type_Upper columns).</t>
  </si>
  <si>
    <t xml:space="preserve">Part E - Sorting &amp; Filtering</t>
  </si>
  <si>
    <t xml:space="preserve">The Clean_Data table (sheet "Clean_Data") has AutoFilter enabled on every column - click any header arrow to Sort A-Z / Z-A, Sort Smallest-Largest / Largest-Smallest (numbers), Sort Oldest-Newest / Newest-Oldest (Policy_Date), or apply filter conditions. This satisfies the sorting and filtering requirement directly on the live dataset.</t>
  </si>
  <si>
    <t xml:space="preserve">Example: Top 10 Highest Claims (Sorted Largest -&gt; Smallest, via LARGE)</t>
  </si>
  <si>
    <t xml:space="preserve">Rank</t>
  </si>
  <si>
    <t xml:space="preserve">Policy ID</t>
  </si>
  <si>
    <t xml:space="preserve">PIVOT SUMMARY TABLES (formula-driven; source data for all dashboard charts)</t>
  </si>
  <si>
    <t xml:space="preserve">Built with SUMIFS / COUNTIFS / AVERAGEIFS referencing the Clean_Data table, so every number here recalculates automatically whenever Clean_Data changes. Native Excel PivotTables (Insert &gt; PivotTable on the Clean_Data table) and Slicers can be added on top of this in seconds - see the note at the bottom of this sheet.</t>
  </si>
  <si>
    <t xml:space="preserve">Table 1: Policy Type Summary  (Rows: Policy Type | Values: Count, Total Premium, Total Claims, Avg Premium, Avg Claim)</t>
  </si>
  <si>
    <t xml:space="preserve">Policy Count</t>
  </si>
  <si>
    <t xml:space="preserve">Total Premium ($)</t>
  </si>
  <si>
    <t xml:space="preserve">Total Claims ($)</t>
  </si>
  <si>
    <t xml:space="preserve">Avg Premium ($)</t>
  </si>
  <si>
    <t xml:space="preserve">Avg Claim ($)</t>
  </si>
  <si>
    <t xml:space="preserve">Table 2: Claim Status Summary  (Rows: Claim Status | Values: Count, % of Total, Total Claim Amount)</t>
  </si>
  <si>
    <t xml:space="preserve">Claim Status</t>
  </si>
  <si>
    <t xml:space="preserve">Count</t>
  </si>
  <si>
    <t xml:space="preserve">% of Total</t>
  </si>
  <si>
    <t xml:space="preserve">Total Claim Amount ($)</t>
  </si>
  <si>
    <t xml:space="preserve">Table 3: Policy Type x Claim Status Cross-Tab  (Rows: Policy Type | Columns: Claim Status | Values: Count)</t>
  </si>
  <si>
    <t xml:space="preserve">Total</t>
  </si>
  <si>
    <t xml:space="preserve">Table 4: Monthly Trend  (Rows: Policy Month | Values: Policy Count, Total Premium)</t>
  </si>
  <si>
    <t xml:space="preserve">Policy Month</t>
  </si>
  <si>
    <t xml:space="preserve">Jan-2025</t>
  </si>
  <si>
    <t xml:space="preserve">Feb-2025</t>
  </si>
  <si>
    <t xml:space="preserve">Mar-2025</t>
  </si>
  <si>
    <t xml:space="preserve">Apr-2025</t>
  </si>
  <si>
    <t xml:space="preserve">May-2025</t>
  </si>
  <si>
    <t xml:space="preserve">Jun-2025</t>
  </si>
  <si>
    <t xml:space="preserve">Jul-2025</t>
  </si>
  <si>
    <t xml:space="preserve">Aug-2025</t>
  </si>
  <si>
    <t xml:space="preserve">Sep-2025</t>
  </si>
  <si>
    <t xml:space="preserve">Oct-2025</t>
  </si>
  <si>
    <t xml:space="preserve">Nov-2025</t>
  </si>
  <si>
    <t xml:space="preserve">Dec-2025</t>
  </si>
  <si>
    <t xml:space="preserve">Jan-2026</t>
  </si>
  <si>
    <t xml:space="preserve">Feb-2026</t>
  </si>
  <si>
    <t xml:space="preserve">Mar-2026</t>
  </si>
  <si>
    <t xml:space="preserve">Apr-2026</t>
  </si>
  <si>
    <t xml:space="preserve">May-2026</t>
  </si>
  <si>
    <t xml:space="preserve">Jun-2026</t>
  </si>
  <si>
    <t xml:space="preserve">Jul-2026</t>
  </si>
  <si>
    <t xml:space="preserve">Table 5: Age Group Summary  (Rows: Age Group | Values: Count, Avg Premium, Avg Claim)</t>
  </si>
  <si>
    <t xml:space="preserve">Age Group</t>
  </si>
  <si>
    <t xml:space="preserve">Young (18-24)</t>
  </si>
  <si>
    <t xml:space="preserve">Adult (25-40)</t>
  </si>
  <si>
    <t xml:space="preserve">Mid-Age (41-60)</t>
  </si>
  <si>
    <t xml:space="preserve">Senior (60+)</t>
  </si>
  <si>
    <t xml:space="preserve">To add native Excel PivotTables/Slicers: select any cell in Clean_Data -&gt; Insert &gt; PivotTable -&gt; place on a new sheet -&gt; drag fields into Rows/Columns/Values/Filters as shown above. Then Insert &gt; Slicer on the PivotTable to get one-click interactive filter buttons.</t>
  </si>
  <si>
    <t xml:space="preserve">DASHBOARD 1 - CLAIMS &amp; FINANCIAL PERFORMANCE</t>
  </si>
  <si>
    <t xml:space="preserve">INTERACTIVE FILTERS  (change a dropdown - every KPI, table and chart below updates)</t>
  </si>
  <si>
    <t xml:space="preserve">Policy Type:</t>
  </si>
  <si>
    <t xml:space="preserve">All</t>
  </si>
  <si>
    <t xml:space="preserve">Claim Status:</t>
  </si>
  <si>
    <t xml:space="preserve">Age Group:</t>
  </si>
  <si>
    <t xml:space="preserve">KEY PERFORMANCE INDICATORS</t>
  </si>
  <si>
    <t xml:space="preserve">TOTAL PREMIUM COLLECTED</t>
  </si>
  <si>
    <t xml:space="preserve">TOTAL CLAIM AMOUNT</t>
  </si>
  <si>
    <t xml:space="preserve">NUMBER OF POLICIES</t>
  </si>
  <si>
    <t xml:space="preserve">CLAIM APPROVAL RATE</t>
  </si>
  <si>
    <t xml:space="preserve">CHART DATA TABLES (auto-updates with filters above)</t>
  </si>
  <si>
    <t xml:space="preserve">By Policy Type</t>
  </si>
  <si>
    <t xml:space="preserve">Category</t>
  </si>
  <si>
    <t xml:space="preserve">By Claim Status</t>
  </si>
  <si>
    <t xml:space="preserve">Total Claim ($)</t>
  </si>
  <si>
    <t xml:space="preserve">DASHBOARD 2 - POLICYHOLDER PROFILE &amp; RISK</t>
  </si>
  <si>
    <t xml:space="preserve">AVERAGE PREMIUM</t>
  </si>
  <si>
    <t xml:space="preserve">AVERAGE CLAIM AMOUNT</t>
  </si>
  <si>
    <t xml:space="preserve">AVERAGE CUSTOMER AGE</t>
  </si>
  <si>
    <t xml:space="preserve">AVG WORKING DAYS OPEN</t>
  </si>
  <si>
    <t xml:space="preserve">By Age Group</t>
  </si>
  <si>
    <t xml:space="preserve">FINDINGS &amp; RECOMMENDATIONS</t>
  </si>
  <si>
    <t xml:space="preserve">KEY FINDINGS</t>
  </si>
  <si>
    <t xml:space="preserve">1.</t>
  </si>
  <si>
    <t xml:space="preserve">Property is the highest-value segment per policy. It carries the highest average premium ($443.55) and the highest average claim ($1,502.69) of all five product lines, even though Health has more policies overall (95 vs 46).</t>
  </si>
  <si>
    <t xml:space="preserve">2.</t>
  </si>
  <si>
    <t xml:space="preserve">Only 41.9% of filed claims are approved. Of the 148 policies where a claim was actually filed (excluding "No Claim"), just 62 were Approved - the remaining 86 are Pending, Rejected, or have an unrecorded outcome.</t>
  </si>
  <si>
    <t xml:space="preserve">3.</t>
  </si>
  <si>
    <t xml:space="preserve">Approved claim payouts exceed premium income. Total premium collected across the portfolio is $95,982, but total approved claim payouts alone are $128,634 - a loss ratio of roughly 134% on this dataset, before administrative costs.</t>
  </si>
  <si>
    <t xml:space="preserve">4.</t>
  </si>
  <si>
    <t xml:space="preserve">Claim severity rises with policyholder age. Senior policyholders (60+) file the largest average claim ($1,295.59), almost 60% higher than Young policyholders 18-24 ($817.68).</t>
  </si>
  <si>
    <t xml:space="preserve">5.</t>
  </si>
  <si>
    <t xml:space="preserve">Travel is a minor, low-risk product line. It accounts for only 20 of 278 policies (7%) and has by far the lowest average premium ($106.30) and average claim ($401.90) of any category.</t>
  </si>
  <si>
    <t xml:space="preserve">6.</t>
  </si>
  <si>
    <t xml:space="preserve">October 2025 was an outlier month, with 29 new policies and $9,733 in premium written - roughly double a typical month - while the rest of the 19-month window shows no single clear seasonal pattern.</t>
  </si>
  <si>
    <t xml:space="preserve">RECOMMENDATIONS</t>
  </si>
  <si>
    <t xml:space="preserve">Review Property and Life pricing and underwriting. Their average claim sizes are the highest in the book relative to premium; a targeted premium adjustment or tighter underwriting criteria would help close the gap seen in Finding 1 and 3.</t>
  </si>
  <si>
    <t xml:space="preserve">Clear the claims backlog. 40 Pending and 16 Unknown-status claims (20% of all records) should be actively worked and resolved so the true approval rate and loss ratio can be measured accurately.</t>
  </si>
  <si>
    <t xml:space="preserve">Introduce age-adjusted risk pricing for Senior policyholders, and improve data capture at the point of sale (Policy ID, Premium, and Claim Amount fields) to reduce the volume of missing and invalid values seen during cleaning (22 records were unusable in the raw file).</t>
  </si>
</sst>
</file>

<file path=xl/styles.xml><?xml version="1.0" encoding="utf-8"?>
<styleSheet xmlns="http://schemas.openxmlformats.org/spreadsheetml/2006/main">
  <numFmts count="12">
    <numFmt numFmtId="164" formatCode="General"/>
    <numFmt numFmtId="165" formatCode="dd\-mmm\-yyyy"/>
    <numFmt numFmtId="166" formatCode="#,##0.00"/>
    <numFmt numFmtId="167" formatCode="0"/>
    <numFmt numFmtId="168" formatCode="\$#,##0.00"/>
    <numFmt numFmtId="169" formatCode="0.00"/>
    <numFmt numFmtId="170" formatCode="General"/>
    <numFmt numFmtId="171" formatCode="dd\-mmm\-yyyy\ hh:mm"/>
    <numFmt numFmtId="172" formatCode="\$#,##0"/>
    <numFmt numFmtId="173" formatCode="0.0%"/>
    <numFmt numFmtId="174" formatCode="#,##0"/>
    <numFmt numFmtId="175" formatCode="0.0"/>
  </numFmts>
  <fonts count="30">
    <font>
      <sz val="11"/>
      <color theme="1"/>
      <name val="Calibri"/>
      <family val="2"/>
      <charset val="1"/>
    </font>
    <font>
      <sz val="10"/>
      <name val="Arial"/>
      <family val="0"/>
    </font>
    <font>
      <sz val="10"/>
      <name val="Arial"/>
      <family val="0"/>
    </font>
    <font>
      <sz val="10"/>
      <name val="Arial"/>
      <family val="0"/>
    </font>
    <font>
      <b val="true"/>
      <sz val="13"/>
      <color rgb="FFC62828"/>
      <name val="Arial"/>
      <family val="0"/>
      <charset val="1"/>
    </font>
    <font>
      <b val="true"/>
      <sz val="11"/>
      <color rgb="FFFFFFFF"/>
      <name val="Arial"/>
      <family val="0"/>
      <charset val="1"/>
    </font>
    <font>
      <b val="true"/>
      <sz val="13"/>
      <color rgb="FF1F3864"/>
      <name val="Arial"/>
      <family val="0"/>
      <charset val="1"/>
    </font>
    <font>
      <i val="true"/>
      <sz val="10"/>
      <name val="Arial"/>
      <family val="0"/>
      <charset val="1"/>
    </font>
    <font>
      <sz val="10"/>
      <name val="Arial"/>
      <family val="0"/>
      <charset val="1"/>
    </font>
    <font>
      <b val="true"/>
      <sz val="16"/>
      <color rgb="FF1F3864"/>
      <name val="Arial"/>
      <family val="0"/>
      <charset val="1"/>
    </font>
    <font>
      <sz val="11"/>
      <name val="Arial"/>
      <family val="0"/>
      <charset val="1"/>
    </font>
    <font>
      <b val="true"/>
      <sz val="11"/>
      <name val="Arial"/>
      <family val="0"/>
      <charset val="1"/>
    </font>
    <font>
      <b val="true"/>
      <sz val="11"/>
      <name val="Cambria"/>
      <family val="0"/>
      <charset val="1"/>
    </font>
    <font>
      <i val="true"/>
      <sz val="9"/>
      <name val="Arial"/>
      <family val="0"/>
      <charset val="1"/>
    </font>
    <font>
      <b val="true"/>
      <sz val="15"/>
      <color rgb="FF1F3864"/>
      <name val="Arial"/>
      <family val="0"/>
      <charset val="1"/>
    </font>
    <font>
      <i val="true"/>
      <sz val="9"/>
      <color rgb="FF555555"/>
      <name val="Arial"/>
      <family val="0"/>
      <charset val="1"/>
    </font>
    <font>
      <b val="true"/>
      <sz val="18"/>
      <color rgb="FF1F3864"/>
      <name val="Arial"/>
      <family val="0"/>
      <charset val="1"/>
    </font>
    <font>
      <b val="true"/>
      <sz val="10"/>
      <color rgb="FF1F3864"/>
      <name val="Arial"/>
      <family val="0"/>
      <charset val="1"/>
    </font>
    <font>
      <b val="true"/>
      <sz val="10"/>
      <color rgb="FFFFFFFF"/>
      <name val="Arial"/>
      <family val="0"/>
      <charset val="1"/>
    </font>
    <font>
      <b val="true"/>
      <sz val="11"/>
      <color rgb="FF1F3864"/>
      <name val="Arial"/>
      <family val="0"/>
      <charset val="1"/>
    </font>
    <font>
      <b val="true"/>
      <sz val="20"/>
      <color rgb="FF1F3864"/>
      <name val="Arial"/>
      <family val="0"/>
      <charset val="1"/>
    </font>
    <font>
      <b val="true"/>
      <i val="true"/>
      <sz val="10"/>
      <color rgb="FF777777"/>
      <name val="Arial"/>
      <family val="0"/>
      <charset val="1"/>
    </font>
    <font>
      <b val="true"/>
      <sz val="10"/>
      <color rgb="FF2E5395"/>
      <name val="Arial"/>
      <family val="0"/>
      <charset val="1"/>
    </font>
    <font>
      <b val="true"/>
      <sz val="9"/>
      <name val="Arial"/>
      <family val="0"/>
      <charset val="1"/>
    </font>
    <font>
      <sz val="9"/>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3"/>
      <color rgb="FFFFFFFF"/>
      <name val="Arial"/>
      <family val="0"/>
      <charset val="1"/>
    </font>
    <font>
      <b val="true"/>
      <sz val="11"/>
      <color rgb="FF2E5395"/>
      <name val="Arial"/>
      <family val="0"/>
      <charset val="1"/>
    </font>
  </fonts>
  <fills count="11">
    <fill>
      <patternFill patternType="none"/>
    </fill>
    <fill>
      <patternFill patternType="gray125"/>
    </fill>
    <fill>
      <patternFill patternType="solid">
        <fgColor rgb="FF1F3864"/>
        <bgColor rgb="FF2E5395"/>
      </patternFill>
    </fill>
    <fill>
      <patternFill patternType="solid">
        <fgColor rgb="FF2E5395"/>
        <bgColor rgb="FF1F3864"/>
      </patternFill>
    </fill>
    <fill>
      <patternFill patternType="solid">
        <fgColor rgb="FFBF8F00"/>
        <bgColor rgb="FF808000"/>
      </patternFill>
    </fill>
    <fill>
      <patternFill patternType="solid">
        <fgColor rgb="FF1F7A6C"/>
        <bgColor rgb="FF008080"/>
      </patternFill>
    </fill>
    <fill>
      <patternFill patternType="solid">
        <fgColor rgb="FF7030A0"/>
        <bgColor rgb="FF800080"/>
      </patternFill>
    </fill>
    <fill>
      <patternFill patternType="solid">
        <fgColor rgb="FFDCE6F1"/>
        <bgColor rgb="FFE2EFDA"/>
      </patternFill>
    </fill>
    <fill>
      <patternFill patternType="solid">
        <fgColor rgb="FFE2EFDA"/>
        <bgColor rgb="FFDCE6F1"/>
      </patternFill>
    </fill>
    <fill>
      <patternFill patternType="solid">
        <fgColor rgb="FFFFFFFF"/>
        <bgColor rgb="FFFFF2CC"/>
      </patternFill>
    </fill>
    <fill>
      <patternFill patternType="solid">
        <fgColor rgb="FFFFF2CC"/>
        <bgColor rgb="FFE2EFDA"/>
      </patternFill>
    </fill>
  </fills>
  <borders count="2">
    <border diagonalUp="false" diagonalDown="false">
      <left/>
      <right/>
      <top/>
      <bottom/>
      <diagonal/>
    </border>
    <border diagonalUp="false" diagonalDown="false">
      <left style="thin">
        <color rgb="FFB7C6E0"/>
      </left>
      <right style="thin">
        <color rgb="FFB7C6E0"/>
      </right>
      <top style="thin">
        <color rgb="FFB7C6E0"/>
      </top>
      <bottom style="thin">
        <color rgb="FFB7C6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70" fontId="12" fillId="0" borderId="0" xfId="0" applyFont="true" applyBorder="false" applyAlignment="tru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tru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18" fillId="2" borderId="1" xfId="0" applyFont="true" applyBorder="true" applyAlignment="true" applyProtection="false">
      <alignment horizontal="center" vertical="center" textRotation="0" wrapText="false" indent="0" shrinkToFit="false"/>
      <protection locked="true" hidden="false"/>
    </xf>
    <xf numFmtId="164" fontId="18" fillId="5" borderId="1" xfId="0" applyFont="true" applyBorder="true" applyAlignment="true" applyProtection="false">
      <alignment horizontal="center" vertical="center" textRotation="0" wrapText="false" indent="0" shrinkToFit="false"/>
      <protection locked="true" hidden="false"/>
    </xf>
    <xf numFmtId="164" fontId="18" fillId="4" borderId="1" xfId="0" applyFont="true" applyBorder="true" applyAlignment="true" applyProtection="false">
      <alignment horizontal="center" vertical="center" textRotation="0" wrapText="false" indent="0" shrinkToFit="false"/>
      <protection locked="true" hidden="false"/>
    </xf>
    <xf numFmtId="164" fontId="18" fillId="6" borderId="1" xfId="0" applyFont="true" applyBorder="true" applyAlignment="true" applyProtection="false">
      <alignment horizontal="center" vertical="center" textRotation="0" wrapText="false" indent="0" shrinkToFit="false"/>
      <protection locked="true" hidden="false"/>
    </xf>
    <xf numFmtId="172" fontId="20" fillId="7" borderId="1" xfId="0" applyFont="true" applyBorder="true" applyAlignment="true" applyProtection="false">
      <alignment horizontal="center" vertical="center" textRotation="0" wrapText="false" indent="0" shrinkToFit="false"/>
      <protection locked="true" hidden="false"/>
    </xf>
    <xf numFmtId="174" fontId="20" fillId="7" borderId="1" xfId="0" applyFont="true" applyBorder="true" applyAlignment="true" applyProtection="false">
      <alignment horizontal="center" vertical="center" textRotation="0" wrapText="false" indent="0" shrinkToFit="false"/>
      <protection locked="true" hidden="false"/>
    </xf>
    <xf numFmtId="173" fontId="20" fillId="7" borderId="1"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8" fontId="20" fillId="7" borderId="1" xfId="0" applyFont="true" applyBorder="true" applyAlignment="true" applyProtection="false">
      <alignment horizontal="center" vertical="center" textRotation="0" wrapText="false" indent="0" shrinkToFit="false"/>
      <protection locked="true" hidden="false"/>
    </xf>
    <xf numFmtId="175" fontId="20" fillId="7" borderId="1" xfId="0" applyFont="true" applyBorder="true" applyAlignment="true" applyProtection="false">
      <alignment horizontal="center" vertical="center" textRotation="0" wrapText="false" indent="0" shrinkToFit="false"/>
      <protection locked="true" hidden="false"/>
    </xf>
    <xf numFmtId="167" fontId="20" fillId="7" borderId="1" xfId="0" applyFont="true" applyBorder="true" applyAlignment="true" applyProtection="false">
      <alignment horizontal="center" vertical="center" textRotation="0" wrapText="false" indent="0" shrinkToFit="false"/>
      <protection locked="true" hidden="false"/>
    </xf>
    <xf numFmtId="164" fontId="28" fillId="2" borderId="0" xfId="0" applyFont="true" applyBorder="tru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general" vertical="top" textRotation="0" wrapText="true" indent="0" shrinkToFit="false"/>
      <protection locked="true" hidden="false"/>
    </xf>
    <xf numFmtId="164" fontId="10" fillId="9" borderId="0" xfId="0" applyFont="true" applyBorder="false" applyAlignment="true" applyProtection="false">
      <alignment horizontal="general" vertical="top" textRotation="0" wrapText="true" indent="0" shrinkToFit="false"/>
      <protection locked="true" hidden="false"/>
    </xf>
    <xf numFmtId="164" fontId="10" fillId="1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5">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2E5395"/>
          <bgColor rgb="FF000000"/>
        </patternFill>
      </fill>
    </dxf>
    <dxf>
      <fill>
        <patternFill patternType="solid">
          <fgColor rgb="FFC6EFCE"/>
          <bgColor rgb="FF000000"/>
        </patternFill>
      </fill>
    </dxf>
    <dxf>
      <fill>
        <patternFill patternType="solid">
          <fgColor rgb="FFEEEDAB"/>
          <bgColor rgb="FF000000"/>
        </patternFill>
      </fill>
    </dxf>
    <dxf>
      <fill>
        <patternFill patternType="solid">
          <fgColor rgb="FFFCEC9E"/>
          <bgColor rgb="FF000000"/>
        </patternFill>
      </fill>
    </dxf>
    <dxf>
      <fill>
        <patternFill patternType="solid">
          <fgColor rgb="FFFDEC9E"/>
          <bgColor rgb="FF000000"/>
        </patternFill>
      </fill>
    </dxf>
    <dxf>
      <fill>
        <patternFill patternType="solid">
          <fgColor rgb="FFFFC7CE"/>
          <bgColor rgb="FF000000"/>
        </patternFill>
      </fill>
    </dxf>
    <dxf>
      <fill>
        <patternFill patternType="solid">
          <fgColor rgb="FFFFC8CD"/>
          <bgColor rgb="FF000000"/>
        </patternFill>
      </fill>
    </dxf>
    <dxf>
      <fill>
        <patternFill patternType="solid">
          <fgColor rgb="FFFFC9CB"/>
          <bgColor rgb="FF000000"/>
        </patternFill>
      </fill>
    </dxf>
    <dxf>
      <fill>
        <patternFill patternType="solid">
          <fgColor rgb="FFFFC9CC"/>
          <bgColor rgb="FF000000"/>
        </patternFill>
      </fill>
    </dxf>
    <dxf>
      <fill>
        <patternFill patternType="solid">
          <fgColor rgb="FFFFCBC9"/>
          <bgColor rgb="FF000000"/>
        </patternFill>
      </fill>
    </dxf>
    <dxf>
      <fill>
        <patternFill patternType="solid">
          <fgColor rgb="FFFFCCC7"/>
          <bgColor rgb="FF000000"/>
        </patternFill>
      </fill>
    </dxf>
    <dxf>
      <fill>
        <patternFill patternType="solid">
          <fgColor rgb="FFFFCDC5"/>
          <bgColor rgb="FF000000"/>
        </patternFill>
      </fill>
    </dxf>
    <dxf>
      <fill>
        <patternFill patternType="solid">
          <fgColor rgb="FFFFCEC4"/>
          <bgColor rgb="FF000000"/>
        </patternFill>
      </fill>
    </dxf>
    <dxf>
      <fill>
        <patternFill patternType="solid">
          <fgColor rgb="FFFFD0C1"/>
          <bgColor rgb="FF000000"/>
        </patternFill>
      </fill>
    </dxf>
    <dxf>
      <fill>
        <patternFill patternType="solid">
          <fgColor rgb="FFFFD1C1"/>
          <bgColor rgb="FF000000"/>
        </patternFill>
      </fill>
    </dxf>
    <dxf>
      <fill>
        <patternFill patternType="solid">
          <fgColor rgb="FFFFD2BF"/>
          <bgColor rgb="FF000000"/>
        </patternFill>
      </fill>
    </dxf>
    <dxf>
      <fill>
        <patternFill patternType="solid">
          <fgColor rgb="FFFFD3BD"/>
          <bgColor rgb="FF000000"/>
        </patternFill>
      </fill>
    </dxf>
    <dxf>
      <fill>
        <patternFill patternType="solid">
          <fgColor rgb="FFFFD4BC"/>
          <bgColor rgb="FF000000"/>
        </patternFill>
      </fill>
    </dxf>
    <dxf>
      <fill>
        <patternFill patternType="solid">
          <fgColor rgb="FFFFD5BB"/>
          <bgColor rgb="FF000000"/>
        </patternFill>
      </fill>
    </dxf>
    <dxf>
      <fill>
        <patternFill patternType="solid">
          <fgColor rgb="FFFFD6B9"/>
          <bgColor rgb="FF000000"/>
        </patternFill>
      </fill>
    </dxf>
    <dxf>
      <fill>
        <patternFill patternType="solid">
          <fgColor rgb="FFFFD7B7"/>
          <bgColor rgb="FF000000"/>
        </patternFill>
      </fill>
    </dxf>
    <dxf>
      <fill>
        <patternFill patternType="solid">
          <fgColor rgb="FFFFD7B8"/>
          <bgColor rgb="FF000000"/>
        </patternFill>
      </fill>
    </dxf>
    <dxf>
      <fill>
        <patternFill patternType="solid">
          <fgColor rgb="FFFFD8B6"/>
          <bgColor rgb="FF000000"/>
        </patternFill>
      </fill>
    </dxf>
    <dxf>
      <fill>
        <patternFill patternType="solid">
          <fgColor rgb="FFFFD8B7"/>
          <bgColor rgb="FF000000"/>
        </patternFill>
      </fill>
    </dxf>
    <dxf>
      <fill>
        <patternFill patternType="solid">
          <fgColor rgb="FFFFD9B5"/>
          <bgColor rgb="FF000000"/>
        </patternFill>
      </fill>
    </dxf>
    <dxf>
      <fill>
        <patternFill patternType="solid">
          <fgColor rgb="FFFFD9B6"/>
          <bgColor rgb="FF000000"/>
        </patternFill>
      </fill>
    </dxf>
    <dxf>
      <fill>
        <patternFill patternType="solid">
          <fgColor rgb="FFFFDAB3"/>
          <bgColor rgb="FF000000"/>
        </patternFill>
      </fill>
    </dxf>
    <dxf>
      <fill>
        <patternFill patternType="solid">
          <fgColor rgb="FFFFDAB4"/>
          <bgColor rgb="FF000000"/>
        </patternFill>
      </fill>
    </dxf>
    <dxf>
      <fill>
        <patternFill patternType="solid">
          <fgColor rgb="FFFFDBB2"/>
          <bgColor rgb="FF000000"/>
        </patternFill>
      </fill>
    </dxf>
    <dxf>
      <fill>
        <patternFill patternType="solid">
          <fgColor rgb="FFFFDBB3"/>
          <bgColor rgb="FF000000"/>
        </patternFill>
      </fill>
    </dxf>
    <dxf>
      <fill>
        <patternFill patternType="solid">
          <fgColor rgb="FFFFDCB1"/>
          <bgColor rgb="FF000000"/>
        </patternFill>
      </fill>
    </dxf>
    <dxf>
      <fill>
        <patternFill patternType="solid">
          <fgColor rgb="FFFFDCB2"/>
          <bgColor rgb="FF000000"/>
        </patternFill>
      </fill>
    </dxf>
    <dxf>
      <fill>
        <patternFill patternType="solid">
          <fgColor rgb="FFFFDDAF"/>
          <bgColor rgb="FF000000"/>
        </patternFill>
      </fill>
    </dxf>
    <dxf>
      <fill>
        <patternFill patternType="solid">
          <fgColor rgb="FFFFDDB0"/>
          <bgColor rgb="FF000000"/>
        </patternFill>
      </fill>
    </dxf>
    <dxf>
      <fill>
        <patternFill patternType="solid">
          <fgColor rgb="FFFFDEAF"/>
          <bgColor rgb="FF000000"/>
        </patternFill>
      </fill>
    </dxf>
    <dxf>
      <fill>
        <patternFill patternType="solid">
          <fgColor rgb="FFFFDFAD"/>
          <bgColor rgb="FF000000"/>
        </patternFill>
      </fill>
    </dxf>
    <dxf>
      <fill>
        <patternFill patternType="solid">
          <fgColor rgb="FFFFE0AB"/>
          <bgColor rgb="FF000000"/>
        </patternFill>
      </fill>
    </dxf>
    <dxf>
      <fill>
        <patternFill patternType="solid">
          <fgColor rgb="FFFFE0AC"/>
          <bgColor rgb="FF000000"/>
        </patternFill>
      </fill>
    </dxf>
    <dxf>
      <fill>
        <patternFill patternType="solid">
          <fgColor rgb="FFFFE1AA"/>
          <bgColor rgb="FF000000"/>
        </patternFill>
      </fill>
    </dxf>
    <dxf>
      <fill>
        <patternFill patternType="solid">
          <fgColor rgb="FFFFE2A8"/>
          <bgColor rgb="FF000000"/>
        </patternFill>
      </fill>
    </dxf>
    <dxf>
      <fill>
        <patternFill patternType="solid">
          <fgColor rgb="FFFFE2A9"/>
          <bgColor rgb="FF000000"/>
        </patternFill>
      </fill>
    </dxf>
    <dxf>
      <fill>
        <patternFill patternType="solid">
          <fgColor rgb="FFFFE3A7"/>
          <bgColor rgb="FF000000"/>
        </patternFill>
      </fill>
    </dxf>
    <dxf>
      <fill>
        <patternFill patternType="solid">
          <fgColor rgb="FFFFE3A8"/>
          <bgColor rgb="FF000000"/>
        </patternFill>
      </fill>
    </dxf>
    <dxf>
      <fill>
        <patternFill patternType="solid">
          <fgColor rgb="FFFFE4A6"/>
          <bgColor rgb="FF000000"/>
        </patternFill>
      </fill>
    </dxf>
    <dxf>
      <fill>
        <patternFill patternType="solid">
          <fgColor rgb="FFFFE5A4"/>
          <bgColor rgb="FF000000"/>
        </patternFill>
      </fill>
    </dxf>
    <dxf>
      <fill>
        <patternFill patternType="solid">
          <fgColor rgb="FFFFE5A5"/>
          <bgColor rgb="FF000000"/>
        </patternFill>
      </fill>
    </dxf>
    <dxf>
      <fill>
        <patternFill patternType="solid">
          <fgColor rgb="FFFFE6A3"/>
          <bgColor rgb="FF000000"/>
        </patternFill>
      </fill>
    </dxf>
    <dxf>
      <fill>
        <patternFill patternType="solid">
          <fgColor rgb="FFFFE6A4"/>
          <bgColor rgb="FF000000"/>
        </patternFill>
      </fill>
    </dxf>
    <dxf>
      <fill>
        <patternFill patternType="solid">
          <fgColor rgb="FFFFE7A1"/>
          <bgColor rgb="FF000000"/>
        </patternFill>
      </fill>
    </dxf>
    <dxf>
      <fill>
        <patternFill patternType="solid">
          <fgColor rgb="FFFFE7A2"/>
          <bgColor rgb="FF000000"/>
        </patternFill>
      </fill>
    </dxf>
    <dxf>
      <fill>
        <patternFill patternType="solid">
          <fgColor rgb="FFFFE8A0"/>
          <bgColor rgb="FF000000"/>
        </patternFill>
      </fill>
    </dxf>
    <dxf>
      <fill>
        <patternFill patternType="solid">
          <fgColor rgb="FFFFE8A1"/>
          <bgColor rgb="FF000000"/>
        </patternFill>
      </fill>
    </dxf>
    <dxf>
      <fill>
        <patternFill patternType="solid">
          <fgColor rgb="FFFFE99E"/>
          <bgColor rgb="FF000000"/>
        </patternFill>
      </fill>
    </dxf>
    <dxf>
      <fill>
        <patternFill patternType="solid">
          <fgColor rgb="FFFFE99F"/>
          <bgColor rgb="FF000000"/>
        </patternFill>
      </fill>
    </dxf>
    <dxf>
      <fill>
        <patternFill patternType="solid">
          <fgColor rgb="FFFFEA9D"/>
          <bgColor rgb="FF000000"/>
        </patternFill>
      </fill>
    </dxf>
    <dxf>
      <fill>
        <patternFill patternType="solid">
          <fgColor rgb="FFFFEA9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ont>
        <b val="1"/>
        <color rgb="FF9C0006"/>
      </font>
      <fill>
        <patternFill>
          <bgColor rgb="FFFFC7CE"/>
        </patternFill>
      </fill>
    </dxf>
    <dxf>
      <font>
        <b val="1"/>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1F7A6C"/>
      <rgbColor rgb="FFB7C6E0"/>
      <rgbColor rgb="FF777777"/>
      <rgbColor rgb="FF8EA9DB"/>
      <rgbColor rgb="FF7030A0"/>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6F1"/>
      <rgbColor rgb="FFC6EFCE"/>
      <rgbColor rgb="FFFFFF99"/>
      <rgbColor rgb="FFB3B3B3"/>
      <rgbColor rgb="FFFF99CC"/>
      <rgbColor rgb="FFCC99FF"/>
      <rgbColor rgb="FFFFC7CE"/>
      <rgbColor rgb="FF4F81BD"/>
      <rgbColor rgb="FF4BACC6"/>
      <rgbColor rgb="FF9BBB59"/>
      <rgbColor rgb="FFFFCC00"/>
      <rgbColor rgb="FFBF8F00"/>
      <rgbColor rgb="FFFF6600"/>
      <rgbColor rgb="FF8064A2"/>
      <rgbColor rgb="FFA6A6A6"/>
      <rgbColor rgb="FF1F3864"/>
      <rgbColor rgb="FF339966"/>
      <rgbColor rgb="FF003300"/>
      <rgbColor rgb="FF333300"/>
      <rgbColor rgb="FFC62828"/>
      <rgbColor rgb="FFC0504D"/>
      <rgbColor rgb="FF2E5395"/>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Policy Count By Policy Type</a:t>
            </a:r>
          </a:p>
        </c:rich>
      </c:tx>
      <c:overlay val="0"/>
      <c:spPr>
        <a:noFill/>
        <a:ln w="0">
          <a:noFill/>
        </a:ln>
      </c:spPr>
    </c:title>
    <c:autoTitleDeleted val="0"/>
    <c:plotArea>
      <c:barChart>
        <c:barDir val="col"/>
        <c:grouping val="clustered"/>
        <c:varyColors val="0"/>
        <c:ser>
          <c:idx val="0"/>
          <c:order val="0"/>
          <c:tx>
            <c:strRef>
              <c:f>Dashboard_Claims!B15</c:f>
              <c:strCache>
                <c:ptCount val="1"/>
                <c:pt idx="0">
                  <c:v>Count</c:v>
                </c:pt>
              </c:strCache>
            </c:strRef>
          </c:tx>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Dashboard_Claims!$A$16:$A$20</c:f>
              <c:strCache>
                <c:ptCount val="5"/>
                <c:pt idx="0">
                  <c:v>Health</c:v>
                </c:pt>
                <c:pt idx="1">
                  <c:v>Motor</c:v>
                </c:pt>
                <c:pt idx="2">
                  <c:v>Life</c:v>
                </c:pt>
                <c:pt idx="3">
                  <c:v>Property</c:v>
                </c:pt>
                <c:pt idx="4">
                  <c:v>Travel</c:v>
                </c:pt>
              </c:strCache>
            </c:strRef>
          </c:cat>
          <c:val>
            <c:numRef>
              <c:f>Dashboard_Claims!$B$16:$B$20</c:f>
              <c:numCache>
                <c:formatCode>General</c:formatCode>
                <c:ptCount val="5"/>
                <c:pt idx="0">
                  <c:v>95</c:v>
                </c:pt>
                <c:pt idx="1">
                  <c:v>61</c:v>
                </c:pt>
                <c:pt idx="2">
                  <c:v>56</c:v>
                </c:pt>
                <c:pt idx="3">
                  <c:v>46</c:v>
                </c:pt>
                <c:pt idx="4">
                  <c:v>20</c:v>
                </c:pt>
              </c:numCache>
            </c:numRef>
          </c:val>
        </c:ser>
        <c:gapWidth val="150"/>
        <c:overlap val="0"/>
        <c:axId val="83035747"/>
        <c:axId val="40770068"/>
      </c:barChart>
      <c:catAx>
        <c:axId val="8303574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0770068"/>
        <c:crosses val="autoZero"/>
        <c:auto val="1"/>
        <c:lblAlgn val="ctr"/>
        <c:lblOffset val="100"/>
        <c:noMultiLvlLbl val="0"/>
      </c:catAx>
      <c:valAx>
        <c:axId val="40770068"/>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303574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Premium ($) By Policy Type</a:t>
            </a:r>
          </a:p>
        </c:rich>
      </c:tx>
      <c:overlay val="0"/>
      <c:spPr>
        <a:noFill/>
        <a:ln w="0">
          <a:noFill/>
        </a:ln>
      </c:spPr>
    </c:title>
    <c:autoTitleDeleted val="0"/>
    <c:plotArea>
      <c:barChart>
        <c:barDir val="col"/>
        <c:grouping val="clustered"/>
        <c:varyColors val="0"/>
        <c:ser>
          <c:idx val="0"/>
          <c:order val="0"/>
          <c:tx>
            <c:strRef>
              <c:f>Dashboard_Claims!C15</c:f>
              <c:strCache>
                <c:ptCount val="1"/>
                <c:pt idx="0">
                  <c:v>Total Premium ($)</c:v>
                </c:pt>
              </c:strCache>
            </c:strRef>
          </c:tx>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Dashboard_Claims!$A$16:$A$20</c:f>
              <c:strCache>
                <c:ptCount val="5"/>
                <c:pt idx="0">
                  <c:v>Health</c:v>
                </c:pt>
                <c:pt idx="1">
                  <c:v>Motor</c:v>
                </c:pt>
                <c:pt idx="2">
                  <c:v>Life</c:v>
                </c:pt>
                <c:pt idx="3">
                  <c:v>Property</c:v>
                </c:pt>
                <c:pt idx="4">
                  <c:v>Travel</c:v>
                </c:pt>
              </c:strCache>
            </c:strRef>
          </c:cat>
          <c:val>
            <c:numRef>
              <c:f>Dashboard_Claims!$C$16:$C$20</c:f>
              <c:numCache>
                <c:formatCode>\$#,##0</c:formatCode>
                <c:ptCount val="5"/>
                <c:pt idx="0">
                  <c:v>32478.2</c:v>
                </c:pt>
                <c:pt idx="1">
                  <c:v>17845.82</c:v>
                </c:pt>
                <c:pt idx="2">
                  <c:v>23128.94</c:v>
                </c:pt>
                <c:pt idx="3">
                  <c:v>20403.42</c:v>
                </c:pt>
                <c:pt idx="4">
                  <c:v>2125.97</c:v>
                </c:pt>
              </c:numCache>
            </c:numRef>
          </c:val>
        </c:ser>
        <c:gapWidth val="150"/>
        <c:overlap val="0"/>
        <c:axId val="38377642"/>
        <c:axId val="88589985"/>
      </c:barChart>
      <c:catAx>
        <c:axId val="3837764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8589985"/>
        <c:crosses val="autoZero"/>
        <c:auto val="1"/>
        <c:lblAlgn val="ctr"/>
        <c:lblOffset val="100"/>
        <c:noMultiLvlLbl val="0"/>
      </c:catAx>
      <c:valAx>
        <c:axId val="8858998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Premium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837764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Policy Count By Claim Status</a:t>
            </a:r>
          </a:p>
        </c:rich>
      </c:tx>
      <c:overlay val="0"/>
      <c:spPr>
        <a:noFill/>
        <a:ln w="0">
          <a:noFill/>
        </a:ln>
      </c:spPr>
    </c:title>
    <c:autoTitleDeleted val="0"/>
    <c:plotArea>
      <c:pieChart>
        <c:varyColors val="1"/>
        <c:ser>
          <c:idx val="0"/>
          <c:order val="0"/>
          <c:tx>
            <c:strRef>
              <c:f>Dashboard_Claims!B24</c:f>
              <c:strCache>
                <c:ptCount val="1"/>
                <c:pt idx="0">
                  <c:v>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Lbls>
            <c:numFmt formatCode="General" sourceLinked="1"/>
            <c:dLbl>
              <c:idx val="0"/>
              <c:numFmt formatCode="General"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numFmt formatCode="General"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numFmt formatCode="General"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numFmt formatCode="General"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numFmt formatCode="General"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Dashboard_Claims!$A$25:$A$29</c:f>
              <c:strCache>
                <c:ptCount val="5"/>
                <c:pt idx="0">
                  <c:v>No Claim</c:v>
                </c:pt>
                <c:pt idx="1">
                  <c:v>Approved</c:v>
                </c:pt>
                <c:pt idx="2">
                  <c:v>Pending</c:v>
                </c:pt>
                <c:pt idx="3">
                  <c:v>Rejected</c:v>
                </c:pt>
                <c:pt idx="4">
                  <c:v>Unknown</c:v>
                </c:pt>
              </c:strCache>
            </c:strRef>
          </c:cat>
          <c:val>
            <c:numRef>
              <c:f>Dashboard_Claims!$B$25:$B$29</c:f>
              <c:numCache>
                <c:formatCode>General</c:formatCode>
                <c:ptCount val="5"/>
                <c:pt idx="0">
                  <c:v>130</c:v>
                </c:pt>
                <c:pt idx="1">
                  <c:v>62</c:v>
                </c:pt>
                <c:pt idx="2">
                  <c:v>40</c:v>
                </c:pt>
                <c:pt idx="3">
                  <c:v>30</c:v>
                </c:pt>
                <c:pt idx="4">
                  <c:v>16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Claim ($) By Claim Status</a:t>
            </a:r>
          </a:p>
        </c:rich>
      </c:tx>
      <c:overlay val="0"/>
      <c:spPr>
        <a:noFill/>
        <a:ln w="0">
          <a:noFill/>
        </a:ln>
      </c:spPr>
    </c:title>
    <c:autoTitleDeleted val="0"/>
    <c:plotArea>
      <c:barChart>
        <c:barDir val="col"/>
        <c:grouping val="clustered"/>
        <c:varyColors val="0"/>
        <c:ser>
          <c:idx val="0"/>
          <c:order val="0"/>
          <c:tx>
            <c:strRef>
              <c:f>Dashboard_Claims!C24</c:f>
              <c:strCache>
                <c:ptCount val="1"/>
                <c:pt idx="0">
                  <c:v>Total Claim ($)</c:v>
                </c:pt>
              </c:strCache>
            </c:strRef>
          </c:tx>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Dashboard_Claims!$A$25:$A$29</c:f>
              <c:strCache>
                <c:ptCount val="5"/>
                <c:pt idx="0">
                  <c:v>No Claim</c:v>
                </c:pt>
                <c:pt idx="1">
                  <c:v>Approved</c:v>
                </c:pt>
                <c:pt idx="2">
                  <c:v>Pending</c:v>
                </c:pt>
                <c:pt idx="3">
                  <c:v>Rejected</c:v>
                </c:pt>
                <c:pt idx="4">
                  <c:v>Unknown</c:v>
                </c:pt>
              </c:strCache>
            </c:strRef>
          </c:cat>
          <c:val>
            <c:numRef>
              <c:f>Dashboard_Claims!$C$25:$C$29</c:f>
              <c:numCache>
                <c:formatCode>\$#,##0</c:formatCode>
                <c:ptCount val="5"/>
                <c:pt idx="0">
                  <c:v>0</c:v>
                </c:pt>
                <c:pt idx="1">
                  <c:v>128634.35</c:v>
                </c:pt>
                <c:pt idx="2">
                  <c:v>84573.57</c:v>
                </c:pt>
                <c:pt idx="3">
                  <c:v>63860.06</c:v>
                </c:pt>
                <c:pt idx="4">
                  <c:v>22439.21</c:v>
                </c:pt>
              </c:numCache>
            </c:numRef>
          </c:val>
        </c:ser>
        <c:gapWidth val="150"/>
        <c:overlap val="0"/>
        <c:axId val="47429446"/>
        <c:axId val="15670352"/>
      </c:barChart>
      <c:catAx>
        <c:axId val="4742944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5670352"/>
        <c:crosses val="autoZero"/>
        <c:auto val="1"/>
        <c:lblAlgn val="ctr"/>
        <c:lblOffset val="100"/>
        <c:noMultiLvlLbl val="0"/>
      </c:catAx>
      <c:valAx>
        <c:axId val="15670352"/>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Claim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742944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Policy Count By Age Group</a:t>
            </a:r>
          </a:p>
        </c:rich>
      </c:tx>
      <c:overlay val="0"/>
      <c:spPr>
        <a:noFill/>
        <a:ln w="0">
          <a:noFill/>
        </a:ln>
      </c:spPr>
    </c:title>
    <c:autoTitleDeleted val="0"/>
    <c:plotArea>
      <c:barChart>
        <c:barDir val="col"/>
        <c:grouping val="clustered"/>
        <c:varyColors val="0"/>
        <c:ser>
          <c:idx val="0"/>
          <c:order val="0"/>
          <c:tx>
            <c:strRef>
              <c:f>Dashboard_Profile!B15</c:f>
              <c:strCache>
                <c:ptCount val="1"/>
                <c:pt idx="0">
                  <c:v>Count</c:v>
                </c:pt>
              </c:strCache>
            </c:strRef>
          </c:tx>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Dashboard_Profile!$A$16:$A$19</c:f>
              <c:strCache>
                <c:ptCount val="4"/>
                <c:pt idx="0">
                  <c:v>Young (18-24)</c:v>
                </c:pt>
                <c:pt idx="1">
                  <c:v>Adult (25-40)</c:v>
                </c:pt>
                <c:pt idx="2">
                  <c:v>Mid-Age (41-60)</c:v>
                </c:pt>
                <c:pt idx="3">
                  <c:v>Senior (60+)</c:v>
                </c:pt>
              </c:strCache>
            </c:strRef>
          </c:cat>
          <c:val>
            <c:numRef>
              <c:f>Dashboard_Profile!$B$16:$B$19</c:f>
              <c:numCache>
                <c:formatCode>General</c:formatCode>
                <c:ptCount val="4"/>
                <c:pt idx="0">
                  <c:v>37</c:v>
                </c:pt>
                <c:pt idx="1">
                  <c:v>77</c:v>
                </c:pt>
                <c:pt idx="2">
                  <c:v>94</c:v>
                </c:pt>
                <c:pt idx="3">
                  <c:v>70</c:v>
                </c:pt>
              </c:numCache>
            </c:numRef>
          </c:val>
        </c:ser>
        <c:gapWidth val="150"/>
        <c:overlap val="0"/>
        <c:axId val="23812689"/>
        <c:axId val="80868234"/>
      </c:barChart>
      <c:catAx>
        <c:axId val="2381268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0868234"/>
        <c:crosses val="autoZero"/>
        <c:auto val="1"/>
        <c:lblAlgn val="ctr"/>
        <c:lblOffset val="100"/>
        <c:noMultiLvlLbl val="0"/>
      </c:catAx>
      <c:valAx>
        <c:axId val="80868234"/>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381268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Avg Premium ($) By Age Group</a:t>
            </a:r>
          </a:p>
        </c:rich>
      </c:tx>
      <c:overlay val="0"/>
      <c:spPr>
        <a:noFill/>
        <a:ln w="0">
          <a:noFill/>
        </a:ln>
      </c:spPr>
    </c:title>
    <c:autoTitleDeleted val="0"/>
    <c:plotArea>
      <c:barChart>
        <c:barDir val="col"/>
        <c:grouping val="clustered"/>
        <c:varyColors val="0"/>
        <c:ser>
          <c:idx val="0"/>
          <c:order val="0"/>
          <c:tx>
            <c:strRef>
              <c:f>Dashboard_Profile!C15</c:f>
              <c:strCache>
                <c:ptCount val="1"/>
                <c:pt idx="0">
                  <c:v>Avg Premium ($)</c:v>
                </c:pt>
              </c:strCache>
            </c:strRef>
          </c:tx>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Dashboard_Profile!$A$16:$A$19</c:f>
              <c:strCache>
                <c:ptCount val="4"/>
                <c:pt idx="0">
                  <c:v>Young (18-24)</c:v>
                </c:pt>
                <c:pt idx="1">
                  <c:v>Adult (25-40)</c:v>
                </c:pt>
                <c:pt idx="2">
                  <c:v>Mid-Age (41-60)</c:v>
                </c:pt>
                <c:pt idx="3">
                  <c:v>Senior (60+)</c:v>
                </c:pt>
              </c:strCache>
            </c:strRef>
          </c:cat>
          <c:val>
            <c:numRef>
              <c:f>Dashboard_Profile!$C$16:$C$19</c:f>
              <c:numCache>
                <c:formatCode>\$#,##0</c:formatCode>
                <c:ptCount val="4"/>
                <c:pt idx="0">
                  <c:v>345.790540540541</c:v>
                </c:pt>
                <c:pt idx="1">
                  <c:v>346.676623376623</c:v>
                </c:pt>
                <c:pt idx="2">
                  <c:v>334.782021276596</c:v>
                </c:pt>
                <c:pt idx="3">
                  <c:v>357.492714285714</c:v>
                </c:pt>
              </c:numCache>
            </c:numRef>
          </c:val>
        </c:ser>
        <c:gapWidth val="150"/>
        <c:overlap val="0"/>
        <c:axId val="66079779"/>
        <c:axId val="36992119"/>
      </c:barChart>
      <c:catAx>
        <c:axId val="6607977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6992119"/>
        <c:crosses val="autoZero"/>
        <c:auto val="1"/>
        <c:lblAlgn val="ctr"/>
        <c:lblOffset val="100"/>
        <c:noMultiLvlLbl val="0"/>
      </c:catAx>
      <c:valAx>
        <c:axId val="36992119"/>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Premium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607977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Policy Count By Policy Type</a:t>
            </a:r>
          </a:p>
        </c:rich>
      </c:tx>
      <c:overlay val="0"/>
      <c:spPr>
        <a:noFill/>
        <a:ln w="0">
          <a:noFill/>
        </a:ln>
      </c:spPr>
    </c:title>
    <c:autoTitleDeleted val="0"/>
    <c:plotArea>
      <c:pieChart>
        <c:varyColors val="1"/>
        <c:ser>
          <c:idx val="0"/>
          <c:order val="0"/>
          <c:tx>
            <c:strRef>
              <c:f>Dashboard_Profile!B23</c:f>
              <c:strCache>
                <c:ptCount val="1"/>
                <c:pt idx="0">
                  <c:v>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Lbls>
            <c:numFmt formatCode="General" sourceLinked="1"/>
            <c:dLbl>
              <c:idx val="0"/>
              <c:numFmt formatCode="General"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numFmt formatCode="General"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numFmt formatCode="General"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numFmt formatCode="General"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numFmt formatCode="General"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Dashboard_Profile!$A$24:$A$28</c:f>
              <c:strCache>
                <c:ptCount val="5"/>
                <c:pt idx="0">
                  <c:v>Health</c:v>
                </c:pt>
                <c:pt idx="1">
                  <c:v>Motor</c:v>
                </c:pt>
                <c:pt idx="2">
                  <c:v>Life</c:v>
                </c:pt>
                <c:pt idx="3">
                  <c:v>Property</c:v>
                </c:pt>
                <c:pt idx="4">
                  <c:v>Travel</c:v>
                </c:pt>
              </c:strCache>
            </c:strRef>
          </c:cat>
          <c:val>
            <c:numRef>
              <c:f>Dashboard_Profile!$B$24:$B$28</c:f>
              <c:numCache>
                <c:formatCode>General</c:formatCode>
                <c:ptCount val="5"/>
                <c:pt idx="0">
                  <c:v>95</c:v>
                </c:pt>
                <c:pt idx="1">
                  <c:v>61</c:v>
                </c:pt>
                <c:pt idx="2">
                  <c:v>56</c:v>
                </c:pt>
                <c:pt idx="3">
                  <c:v>46</c:v>
                </c:pt>
                <c:pt idx="4">
                  <c:v>20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Avg Claim ($) By Policy Type</a:t>
            </a:r>
          </a:p>
        </c:rich>
      </c:tx>
      <c:overlay val="0"/>
      <c:spPr>
        <a:noFill/>
        <a:ln w="0">
          <a:noFill/>
        </a:ln>
      </c:spPr>
    </c:title>
    <c:autoTitleDeleted val="0"/>
    <c:plotArea>
      <c:barChart>
        <c:barDir val="col"/>
        <c:grouping val="clustered"/>
        <c:varyColors val="0"/>
        <c:ser>
          <c:idx val="0"/>
          <c:order val="0"/>
          <c:tx>
            <c:strRef>
              <c:f>Dashboard_Profile!C23</c:f>
              <c:strCache>
                <c:ptCount val="1"/>
                <c:pt idx="0">
                  <c:v>Avg Claim ($)</c:v>
                </c:pt>
              </c:strCache>
            </c:strRef>
          </c:tx>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Dashboard_Profile!$A$24:$A$28</c:f>
              <c:strCache>
                <c:ptCount val="5"/>
                <c:pt idx="0">
                  <c:v>Health</c:v>
                </c:pt>
                <c:pt idx="1">
                  <c:v>Motor</c:v>
                </c:pt>
                <c:pt idx="2">
                  <c:v>Life</c:v>
                </c:pt>
                <c:pt idx="3">
                  <c:v>Property</c:v>
                </c:pt>
                <c:pt idx="4">
                  <c:v>Travel</c:v>
                </c:pt>
              </c:strCache>
            </c:strRef>
          </c:cat>
          <c:val>
            <c:numRef>
              <c:f>Dashboard_Profile!$C$24:$C$28</c:f>
              <c:numCache>
                <c:formatCode>\$#,##0</c:formatCode>
                <c:ptCount val="5"/>
                <c:pt idx="0">
                  <c:v>1107.30442105263</c:v>
                </c:pt>
                <c:pt idx="1">
                  <c:v>863.767213114754</c:v>
                </c:pt>
                <c:pt idx="2">
                  <c:v>1151.09821428571</c:v>
                </c:pt>
                <c:pt idx="3">
                  <c:v>1502.69434782609</c:v>
                </c:pt>
                <c:pt idx="4">
                  <c:v>401.9015</c:v>
                </c:pt>
              </c:numCache>
            </c:numRef>
          </c:val>
        </c:ser>
        <c:gapWidth val="150"/>
        <c:overlap val="0"/>
        <c:axId val="92269811"/>
        <c:axId val="20835588"/>
      </c:barChart>
      <c:catAx>
        <c:axId val="9226981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0835588"/>
        <c:crosses val="autoZero"/>
        <c:auto val="1"/>
        <c:lblAlgn val="ctr"/>
        <c:lblOffset val="100"/>
        <c:noMultiLvlLbl val="0"/>
      </c:catAx>
      <c:valAx>
        <c:axId val="20835588"/>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Claim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22698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12</xdr:row>
      <xdr:rowOff>0</xdr:rowOff>
    </xdr:from>
    <xdr:to>
      <xdr:col>7</xdr:col>
      <xdr:colOff>636840</xdr:colOff>
      <xdr:row>26</xdr:row>
      <xdr:rowOff>30960</xdr:rowOff>
    </xdr:to>
    <xdr:graphicFrame>
      <xdr:nvGraphicFramePr>
        <xdr:cNvPr id="0" name="Chart 1"/>
        <xdr:cNvGraphicFramePr/>
      </xdr:nvGraphicFramePr>
      <xdr:xfrm>
        <a:off x="1832760" y="2685960"/>
        <a:ext cx="5218200" cy="269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28</xdr:row>
      <xdr:rowOff>0</xdr:rowOff>
    </xdr:from>
    <xdr:to>
      <xdr:col>7</xdr:col>
      <xdr:colOff>636840</xdr:colOff>
      <xdr:row>42</xdr:row>
      <xdr:rowOff>31320</xdr:rowOff>
    </xdr:to>
    <xdr:graphicFrame>
      <xdr:nvGraphicFramePr>
        <xdr:cNvPr id="1" name="Chart 2"/>
        <xdr:cNvGraphicFramePr/>
      </xdr:nvGraphicFramePr>
      <xdr:xfrm>
        <a:off x="1832760" y="5734080"/>
        <a:ext cx="5218200" cy="2698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12</xdr:row>
      <xdr:rowOff>0</xdr:rowOff>
    </xdr:from>
    <xdr:to>
      <xdr:col>13</xdr:col>
      <xdr:colOff>636480</xdr:colOff>
      <xdr:row>26</xdr:row>
      <xdr:rowOff>30960</xdr:rowOff>
    </xdr:to>
    <xdr:graphicFrame>
      <xdr:nvGraphicFramePr>
        <xdr:cNvPr id="2" name="Chart 3"/>
        <xdr:cNvGraphicFramePr/>
      </xdr:nvGraphicFramePr>
      <xdr:xfrm>
        <a:off x="7330320" y="2685960"/>
        <a:ext cx="5218200" cy="2698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28</xdr:row>
      <xdr:rowOff>0</xdr:rowOff>
    </xdr:from>
    <xdr:to>
      <xdr:col>13</xdr:col>
      <xdr:colOff>636480</xdr:colOff>
      <xdr:row>42</xdr:row>
      <xdr:rowOff>31320</xdr:rowOff>
    </xdr:to>
    <xdr:graphicFrame>
      <xdr:nvGraphicFramePr>
        <xdr:cNvPr id="3" name="Chart 4"/>
        <xdr:cNvGraphicFramePr/>
      </xdr:nvGraphicFramePr>
      <xdr:xfrm>
        <a:off x="7330320" y="5734080"/>
        <a:ext cx="5218200" cy="2698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12</xdr:row>
      <xdr:rowOff>0</xdr:rowOff>
    </xdr:from>
    <xdr:to>
      <xdr:col>7</xdr:col>
      <xdr:colOff>636840</xdr:colOff>
      <xdr:row>26</xdr:row>
      <xdr:rowOff>30960</xdr:rowOff>
    </xdr:to>
    <xdr:graphicFrame>
      <xdr:nvGraphicFramePr>
        <xdr:cNvPr id="4" name="Chart 1"/>
        <xdr:cNvGraphicFramePr/>
      </xdr:nvGraphicFramePr>
      <xdr:xfrm>
        <a:off x="1832760" y="2685960"/>
        <a:ext cx="5218200" cy="269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28</xdr:row>
      <xdr:rowOff>0</xdr:rowOff>
    </xdr:from>
    <xdr:to>
      <xdr:col>7</xdr:col>
      <xdr:colOff>636840</xdr:colOff>
      <xdr:row>42</xdr:row>
      <xdr:rowOff>31320</xdr:rowOff>
    </xdr:to>
    <xdr:graphicFrame>
      <xdr:nvGraphicFramePr>
        <xdr:cNvPr id="5" name="Chart 2"/>
        <xdr:cNvGraphicFramePr/>
      </xdr:nvGraphicFramePr>
      <xdr:xfrm>
        <a:off x="1832760" y="5734080"/>
        <a:ext cx="5218200" cy="2698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12</xdr:row>
      <xdr:rowOff>0</xdr:rowOff>
    </xdr:from>
    <xdr:to>
      <xdr:col>13</xdr:col>
      <xdr:colOff>636480</xdr:colOff>
      <xdr:row>26</xdr:row>
      <xdr:rowOff>30960</xdr:rowOff>
    </xdr:to>
    <xdr:graphicFrame>
      <xdr:nvGraphicFramePr>
        <xdr:cNvPr id="6" name="Chart 3"/>
        <xdr:cNvGraphicFramePr/>
      </xdr:nvGraphicFramePr>
      <xdr:xfrm>
        <a:off x="7330320" y="2685960"/>
        <a:ext cx="5218200" cy="2698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28</xdr:row>
      <xdr:rowOff>0</xdr:rowOff>
    </xdr:from>
    <xdr:to>
      <xdr:col>13</xdr:col>
      <xdr:colOff>636480</xdr:colOff>
      <xdr:row>42</xdr:row>
      <xdr:rowOff>31320</xdr:rowOff>
    </xdr:to>
    <xdr:graphicFrame>
      <xdr:nvGraphicFramePr>
        <xdr:cNvPr id="7" name="Chart 4"/>
        <xdr:cNvGraphicFramePr/>
      </xdr:nvGraphicFramePr>
      <xdr:xfrm>
        <a:off x="7330320" y="5734080"/>
        <a:ext cx="5218200" cy="2698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CleanData" displayName="CleanData" ref="A3:Q281" headerRowCount="1" totalsRowCount="0" totalsRowShown="0">
  <autoFilter ref="A3:Q281"/>
  <tableColumns count="17">
    <tableColumn id="1" name="Row_No"/>
    <tableColumn id="2" name="Policy_ID"/>
    <tableColumn id="3" name="Policy_Date"/>
    <tableColumn id="4" name="Policy_Type"/>
    <tableColumn id="5" name="Customer_Age"/>
    <tableColumn id="6" name="Premium"/>
    <tableColumn id="7" name="Claim_Amount"/>
    <tableColumn id="8" name="Claim_Status"/>
    <tableColumn id="9" name="Data_Quality_Notes"/>
    <tableColumn id="10" name="Policy_Year"/>
    <tableColumn id="11" name="Policy_Month"/>
    <tableColumn id="12" name="Age_Group"/>
    <tableColumn id="13" name="Claim_Ratio"/>
    <tableColumn id="14" name="Priority_Flag"/>
    <tableColumn id="15" name="Policy_ID_Prefix"/>
    <tableColumn id="16" name="Type_Upper"/>
    <tableColumn id="17" name="Days_Open"/>
  </tableColumns>
</table>
</file>

<file path=xl/tables/table2.xml><?xml version="1.0" encoding="utf-8"?>
<table xmlns="http://schemas.openxmlformats.org/spreadsheetml/2006/main" id="2" name="CleaningLog" displayName="CleaningLog" ref="A4:D21" headerRowCount="1" totalsRowCount="0" totalsRowShown="0">
  <autoFilter ref="A4:D21"/>
  <tableColumns count="4">
    <tableColumn id="1" name="Field"/>
    <tableColumn id="2" name="Issue Found"/>
    <tableColumn id="3" name="Records Affected"/>
    <tableColumn id="4" name="Action Taken"/>
  </tableColumns>
</table>
</file>

<file path=xl/tables/table3.xml><?xml version="1.0" encoding="utf-8"?>
<table xmlns="http://schemas.openxmlformats.org/spreadsheetml/2006/main" id="3" name="RawData" displayName="RawData" ref="A3:G303" headerRowCount="1" totalsRowCount="0" totalsRowShown="0">
  <autoFilter ref="A3:G303"/>
  <tableColumns count="7">
    <tableColumn id="1" name="Policy_ID"/>
    <tableColumn id="2" name="Policy_Date"/>
    <tableColumn id="3" name="Policy_Type"/>
    <tableColumn id="4" name="Customer_Age"/>
    <tableColumn id="5" name="Premium"/>
    <tableColumn id="6" name="Claim_Amount"/>
    <tableColumn id="7" name="Claim_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G30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5"/>
    <col collapsed="false" customWidth="true" hidden="false" outlineLevel="0" max="3" min="3" style="1" width="13"/>
    <col collapsed="false" customWidth="true" hidden="false" outlineLevel="0" max="7" min="4" style="1" width="15"/>
  </cols>
  <sheetData>
    <row r="1" customFormat="false" ht="15.75" hidden="false" customHeight="true" outlineLevel="0" collapsed="false">
      <c r="A1" s="2" t="s">
        <v>0</v>
      </c>
      <c r="B1" s="2"/>
      <c r="C1" s="2"/>
      <c r="D1" s="2"/>
      <c r="E1" s="2"/>
      <c r="F1" s="2"/>
      <c r="G1" s="2"/>
    </row>
    <row r="3" customFormat="false" ht="15" hidden="false" customHeight="true" outlineLevel="0" collapsed="false">
      <c r="A3" s="3" t="s">
        <v>1</v>
      </c>
      <c r="B3" s="3" t="s">
        <v>2</v>
      </c>
      <c r="C3" s="3" t="s">
        <v>3</v>
      </c>
      <c r="D3" s="3" t="s">
        <v>4</v>
      </c>
      <c r="E3" s="3" t="s">
        <v>5</v>
      </c>
      <c r="F3" s="3" t="s">
        <v>6</v>
      </c>
      <c r="G3" s="3" t="s">
        <v>7</v>
      </c>
    </row>
    <row r="4" customFormat="false" ht="15" hidden="false" customHeight="true" outlineLevel="0" collapsed="false">
      <c r="A4" s="1" t="s">
        <v>8</v>
      </c>
      <c r="B4" s="4"/>
      <c r="C4" s="1" t="s">
        <v>9</v>
      </c>
      <c r="D4" s="1" t="n">
        <v>73</v>
      </c>
      <c r="E4" s="5" t="n">
        <v>313.1</v>
      </c>
      <c r="F4" s="5" t="n">
        <v>0</v>
      </c>
      <c r="G4" s="1" t="s">
        <v>10</v>
      </c>
    </row>
    <row r="5" customFormat="false" ht="15" hidden="false" customHeight="true" outlineLevel="0" collapsed="false">
      <c r="A5" s="1" t="s">
        <v>11</v>
      </c>
      <c r="B5" s="4" t="n">
        <v>46136</v>
      </c>
      <c r="C5" s="1" t="s">
        <v>12</v>
      </c>
      <c r="D5" s="1" t="n">
        <v>31</v>
      </c>
      <c r="E5" s="5" t="n">
        <v>323.64</v>
      </c>
      <c r="F5" s="5"/>
      <c r="G5" s="1" t="s">
        <v>13</v>
      </c>
    </row>
    <row r="6" customFormat="false" ht="15" hidden="false" customHeight="true" outlineLevel="0" collapsed="false">
      <c r="A6" s="1" t="s">
        <v>14</v>
      </c>
      <c r="B6" s="4" t="n">
        <v>45701</v>
      </c>
      <c r="C6" s="1" t="s">
        <v>9</v>
      </c>
      <c r="D6" s="1" t="n">
        <v>37</v>
      </c>
      <c r="E6" s="5" t="n">
        <v>333.82</v>
      </c>
      <c r="F6" s="5" t="n">
        <v>4200.03</v>
      </c>
      <c r="G6" s="1" t="s">
        <v>13</v>
      </c>
    </row>
    <row r="7" customFormat="false" ht="15" hidden="false" customHeight="true" outlineLevel="0" collapsed="false">
      <c r="A7" s="1" t="s">
        <v>15</v>
      </c>
      <c r="B7" s="4" t="n">
        <v>46092</v>
      </c>
      <c r="C7" s="1" t="s">
        <v>16</v>
      </c>
      <c r="D7" s="1" t="n">
        <v>31</v>
      </c>
      <c r="E7" s="5" t="n">
        <v>449.01</v>
      </c>
      <c r="F7" s="5" t="n">
        <v>1953.01</v>
      </c>
      <c r="G7" s="1" t="s">
        <v>17</v>
      </c>
    </row>
    <row r="8" customFormat="false" ht="15" hidden="false" customHeight="true" outlineLevel="0" collapsed="false">
      <c r="A8" s="1" t="s">
        <v>18</v>
      </c>
      <c r="B8" s="4" t="n">
        <v>46002</v>
      </c>
      <c r="C8" s="1" t="s">
        <v>19</v>
      </c>
      <c r="D8" s="1" t="n">
        <v>28</v>
      </c>
      <c r="E8" s="5" t="n">
        <v>378.73</v>
      </c>
      <c r="F8" s="5" t="n">
        <v>0</v>
      </c>
      <c r="G8" s="1" t="s">
        <v>10</v>
      </c>
    </row>
    <row r="9" customFormat="false" ht="15" hidden="false" customHeight="true" outlineLevel="0" collapsed="false">
      <c r="A9" s="1" t="s">
        <v>20</v>
      </c>
      <c r="B9" s="4" t="n">
        <v>45977</v>
      </c>
      <c r="C9" s="1" t="s">
        <v>9</v>
      </c>
      <c r="D9" s="1" t="n">
        <v>43</v>
      </c>
      <c r="E9" s="5" t="n">
        <v>528.8</v>
      </c>
      <c r="F9" s="5" t="n">
        <v>3093.69</v>
      </c>
      <c r="G9" s="1" t="s">
        <v>17</v>
      </c>
    </row>
    <row r="10" customFormat="false" ht="15" hidden="false" customHeight="true" outlineLevel="0" collapsed="false">
      <c r="A10" s="1" t="s">
        <v>21</v>
      </c>
      <c r="B10" s="4" t="n">
        <v>45986</v>
      </c>
      <c r="C10" s="1" t="s">
        <v>9</v>
      </c>
      <c r="D10" s="1" t="n">
        <v>53</v>
      </c>
      <c r="E10" s="5" t="n">
        <v>354.41</v>
      </c>
      <c r="F10" s="5" t="n">
        <v>391.32</v>
      </c>
      <c r="G10" s="1" t="s">
        <v>17</v>
      </c>
    </row>
    <row r="11" customFormat="false" ht="15" hidden="false" customHeight="true" outlineLevel="0" collapsed="false">
      <c r="A11" s="1" t="s">
        <v>22</v>
      </c>
      <c r="B11" s="4" t="n">
        <v>45778</v>
      </c>
      <c r="C11" s="1" t="s">
        <v>19</v>
      </c>
      <c r="D11" s="1" t="n">
        <v>60</v>
      </c>
      <c r="E11" s="5" t="n">
        <v>364.96</v>
      </c>
      <c r="F11" s="5" t="n">
        <v>0</v>
      </c>
      <c r="G11" s="1" t="s">
        <v>10</v>
      </c>
    </row>
    <row r="12" customFormat="false" ht="15" hidden="false" customHeight="true" outlineLevel="0" collapsed="false">
      <c r="A12" s="1" t="s">
        <v>23</v>
      </c>
      <c r="B12" s="4" t="n">
        <v>45905</v>
      </c>
      <c r="C12" s="1" t="s">
        <v>12</v>
      </c>
      <c r="D12" s="1" t="n">
        <v>23</v>
      </c>
      <c r="E12" s="5" t="n">
        <v>339.63</v>
      </c>
      <c r="F12" s="5" t="n">
        <v>0</v>
      </c>
      <c r="G12" s="1" t="s">
        <v>10</v>
      </c>
    </row>
    <row r="13" customFormat="false" ht="15" hidden="false" customHeight="true" outlineLevel="0" collapsed="false">
      <c r="A13" s="1" t="s">
        <v>24</v>
      </c>
      <c r="B13" s="4" t="n">
        <v>45939</v>
      </c>
      <c r="C13" s="1" t="s">
        <v>16</v>
      </c>
      <c r="D13" s="1" t="n">
        <v>62</v>
      </c>
      <c r="E13" s="5" t="n">
        <v>395.53</v>
      </c>
      <c r="F13" s="5" t="n">
        <v>4924.33</v>
      </c>
      <c r="G13" s="1" t="s">
        <v>13</v>
      </c>
    </row>
    <row r="14" customFormat="false" ht="15" hidden="false" customHeight="true" outlineLevel="0" collapsed="false">
      <c r="A14" s="1" t="s">
        <v>25</v>
      </c>
      <c r="B14" s="4" t="n">
        <v>45843</v>
      </c>
      <c r="C14" s="1" t="s">
        <v>19</v>
      </c>
      <c r="D14" s="1" t="n">
        <v>74</v>
      </c>
      <c r="E14" s="5" t="n">
        <v>351.89</v>
      </c>
      <c r="F14" s="5" t="n">
        <v>0</v>
      </c>
      <c r="G14" s="1" t="s">
        <v>10</v>
      </c>
    </row>
    <row r="15" customFormat="false" ht="15" hidden="false" customHeight="true" outlineLevel="0" collapsed="false">
      <c r="A15" s="1" t="s">
        <v>26</v>
      </c>
      <c r="B15" s="4" t="n">
        <v>45860</v>
      </c>
      <c r="C15" s="1" t="s">
        <v>16</v>
      </c>
      <c r="D15" s="1" t="n">
        <v>70</v>
      </c>
      <c r="E15" s="5" t="n">
        <v>565.56</v>
      </c>
      <c r="F15" s="5"/>
      <c r="G15" s="1" t="s">
        <v>10</v>
      </c>
    </row>
    <row r="16" customFormat="false" ht="15" hidden="false" customHeight="true" outlineLevel="0" collapsed="false">
      <c r="A16" s="1" t="s">
        <v>27</v>
      </c>
      <c r="B16" s="4" t="n">
        <v>45672</v>
      </c>
      <c r="C16" s="1" t="s">
        <v>19</v>
      </c>
      <c r="D16" s="1" t="n">
        <v>72</v>
      </c>
      <c r="E16" s="5" t="n">
        <v>299.62</v>
      </c>
      <c r="F16" s="5" t="n">
        <v>0</v>
      </c>
      <c r="G16" s="1" t="s">
        <v>10</v>
      </c>
    </row>
    <row r="17" customFormat="false" ht="15" hidden="false" customHeight="true" outlineLevel="0" collapsed="false">
      <c r="B17" s="4" t="n">
        <v>45878</v>
      </c>
      <c r="C17" s="1" t="s">
        <v>16</v>
      </c>
      <c r="D17" s="1" t="n">
        <v>61</v>
      </c>
      <c r="E17" s="5" t="n">
        <v>470.8</v>
      </c>
      <c r="F17" s="5" t="n">
        <v>0</v>
      </c>
      <c r="G17" s="1" t="s">
        <v>10</v>
      </c>
    </row>
    <row r="18" customFormat="false" ht="15" hidden="false" customHeight="true" outlineLevel="0" collapsed="false">
      <c r="A18" s="1" t="s">
        <v>28</v>
      </c>
      <c r="B18" s="4" t="n">
        <v>46030</v>
      </c>
      <c r="C18" s="1" t="s">
        <v>16</v>
      </c>
      <c r="D18" s="1" t="n">
        <v>35</v>
      </c>
      <c r="E18" s="5" t="n">
        <v>489.34</v>
      </c>
      <c r="F18" s="5" t="n">
        <v>0</v>
      </c>
      <c r="G18" s="1" t="s">
        <v>10</v>
      </c>
    </row>
    <row r="19" customFormat="false" ht="15" hidden="false" customHeight="true" outlineLevel="0" collapsed="false">
      <c r="A19" s="1" t="s">
        <v>29</v>
      </c>
      <c r="B19" s="4" t="n">
        <v>45690</v>
      </c>
      <c r="C19" s="1" t="s">
        <v>9</v>
      </c>
      <c r="D19" s="1" t="n">
        <v>62</v>
      </c>
      <c r="E19" s="5" t="n">
        <v>459.88</v>
      </c>
      <c r="F19" s="5"/>
      <c r="G19" s="1" t="s">
        <v>30</v>
      </c>
    </row>
    <row r="20" customFormat="false" ht="15" hidden="false" customHeight="true" outlineLevel="0" collapsed="false">
      <c r="A20" s="1" t="s">
        <v>31</v>
      </c>
      <c r="B20" s="4"/>
      <c r="C20" s="1" t="s">
        <v>16</v>
      </c>
      <c r="D20" s="1" t="n">
        <v>32</v>
      </c>
      <c r="E20" s="5" t="n">
        <v>457.2</v>
      </c>
      <c r="F20" s="5" t="n">
        <v>4730.21</v>
      </c>
      <c r="G20" s="1" t="s">
        <v>13</v>
      </c>
    </row>
    <row r="21" customFormat="false" ht="15" hidden="false" customHeight="true" outlineLevel="0" collapsed="false">
      <c r="A21" s="1" t="s">
        <v>32</v>
      </c>
      <c r="B21" s="4" t="n">
        <v>45721</v>
      </c>
      <c r="C21" s="1" t="s">
        <v>19</v>
      </c>
      <c r="D21" s="1" t="n">
        <v>26</v>
      </c>
      <c r="E21" s="5" t="n">
        <v>400.34</v>
      </c>
      <c r="F21" s="5" t="n">
        <v>3358.5</v>
      </c>
      <c r="G21" s="1" t="s">
        <v>13</v>
      </c>
    </row>
    <row r="22" customFormat="false" ht="15" hidden="false" customHeight="true" outlineLevel="0" collapsed="false">
      <c r="A22" s="1" t="s">
        <v>33</v>
      </c>
      <c r="B22" s="4" t="n">
        <v>45730</v>
      </c>
      <c r="C22" s="1" t="s">
        <v>12</v>
      </c>
      <c r="D22" s="1" t="n">
        <v>73</v>
      </c>
      <c r="E22" s="5" t="n">
        <v>225.58</v>
      </c>
      <c r="F22" s="5" t="n">
        <v>0</v>
      </c>
      <c r="G22" s="1" t="s">
        <v>10</v>
      </c>
    </row>
    <row r="23" customFormat="false" ht="15" hidden="false" customHeight="true" outlineLevel="0" collapsed="false">
      <c r="A23" s="1" t="s">
        <v>34</v>
      </c>
      <c r="B23" s="4" t="n">
        <v>46015</v>
      </c>
      <c r="C23" s="1" t="s">
        <v>19</v>
      </c>
      <c r="D23" s="1" t="n">
        <v>71</v>
      </c>
      <c r="E23" s="5" t="n">
        <v>316.81</v>
      </c>
      <c r="F23" s="5" t="n">
        <v>665.9</v>
      </c>
      <c r="G23" s="1" t="s">
        <v>30</v>
      </c>
    </row>
    <row r="24" customFormat="false" ht="15" hidden="false" customHeight="true" outlineLevel="0" collapsed="false">
      <c r="B24" s="4" t="n">
        <v>45687</v>
      </c>
      <c r="C24" s="1" t="s">
        <v>12</v>
      </c>
      <c r="D24" s="1" t="n">
        <v>36</v>
      </c>
      <c r="E24" s="5" t="n">
        <v>348.71</v>
      </c>
      <c r="F24" s="5" t="n">
        <v>0</v>
      </c>
      <c r="G24" s="1" t="s">
        <v>10</v>
      </c>
    </row>
    <row r="25" customFormat="false" ht="15" hidden="false" customHeight="true" outlineLevel="0" collapsed="false">
      <c r="A25" s="1" t="s">
        <v>35</v>
      </c>
      <c r="B25" s="4" t="n">
        <v>45719</v>
      </c>
      <c r="C25" s="1" t="s">
        <v>9</v>
      </c>
      <c r="E25" s="5" t="n">
        <v>406.44</v>
      </c>
      <c r="F25" s="5" t="n">
        <v>3577.14</v>
      </c>
      <c r="G25" s="1" t="s">
        <v>17</v>
      </c>
    </row>
    <row r="26" customFormat="false" ht="15" hidden="false" customHeight="true" outlineLevel="0" collapsed="false">
      <c r="A26" s="1" t="s">
        <v>36</v>
      </c>
      <c r="B26" s="4" t="n">
        <v>46051</v>
      </c>
      <c r="C26" s="1" t="s">
        <v>19</v>
      </c>
      <c r="D26" s="1" t="n">
        <v>44</v>
      </c>
      <c r="E26" s="5" t="n">
        <v>387.98</v>
      </c>
      <c r="F26" s="5" t="n">
        <v>0</v>
      </c>
      <c r="G26" s="1" t="s">
        <v>10</v>
      </c>
    </row>
    <row r="27" customFormat="false" ht="15" hidden="false" customHeight="true" outlineLevel="0" collapsed="false">
      <c r="A27" s="1" t="s">
        <v>37</v>
      </c>
      <c r="B27" s="4" t="n">
        <v>45837</v>
      </c>
      <c r="C27" s="1" t="s">
        <v>19</v>
      </c>
      <c r="D27" s="1" t="s">
        <v>38</v>
      </c>
      <c r="E27" s="5" t="n">
        <v>415.77</v>
      </c>
      <c r="F27" s="5" t="n">
        <v>0</v>
      </c>
      <c r="G27" s="1" t="s">
        <v>10</v>
      </c>
    </row>
    <row r="28" customFormat="false" ht="15" hidden="false" customHeight="true" outlineLevel="0" collapsed="false">
      <c r="A28" s="1" t="s">
        <v>39</v>
      </c>
      <c r="B28" s="4" t="n">
        <v>45744</v>
      </c>
      <c r="C28" s="1" t="s">
        <v>40</v>
      </c>
      <c r="D28" s="1" t="n">
        <v>21</v>
      </c>
      <c r="E28" s="5"/>
      <c r="F28" s="5" t="n">
        <v>0</v>
      </c>
      <c r="G28" s="1" t="s">
        <v>10</v>
      </c>
    </row>
    <row r="29" customFormat="false" ht="15" hidden="false" customHeight="true" outlineLevel="0" collapsed="false">
      <c r="A29" s="1" t="s">
        <v>41</v>
      </c>
      <c r="B29" s="4" t="n">
        <v>46023</v>
      </c>
      <c r="C29" s="1" t="s">
        <v>19</v>
      </c>
      <c r="E29" s="5" t="n">
        <v>295.78</v>
      </c>
      <c r="F29" s="5" t="n">
        <v>0</v>
      </c>
      <c r="G29" s="1" t="s">
        <v>10</v>
      </c>
    </row>
    <row r="30" customFormat="false" ht="15" hidden="false" customHeight="true" outlineLevel="0" collapsed="false">
      <c r="A30" s="1" t="s">
        <v>42</v>
      </c>
      <c r="B30" s="4"/>
      <c r="C30" s="1" t="s">
        <v>16</v>
      </c>
      <c r="D30" s="1" t="n">
        <v>78</v>
      </c>
      <c r="E30" s="5" t="n">
        <v>544.99</v>
      </c>
      <c r="F30" s="5" t="n">
        <v>4764.98</v>
      </c>
      <c r="G30" s="1" t="s">
        <v>17</v>
      </c>
    </row>
    <row r="31" customFormat="false" ht="15" hidden="false" customHeight="true" outlineLevel="0" collapsed="false">
      <c r="A31" s="1" t="s">
        <v>43</v>
      </c>
      <c r="B31" s="4" t="n">
        <v>45779</v>
      </c>
      <c r="C31" s="1" t="s">
        <v>9</v>
      </c>
      <c r="D31" s="1" t="n">
        <v>26</v>
      </c>
      <c r="E31" s="5" t="n">
        <v>520.04</v>
      </c>
      <c r="F31" s="5" t="n">
        <v>0</v>
      </c>
      <c r="G31" s="1" t="s">
        <v>10</v>
      </c>
    </row>
    <row r="32" customFormat="false" ht="15" hidden="false" customHeight="true" outlineLevel="0" collapsed="false">
      <c r="A32" s="1" t="s">
        <v>44</v>
      </c>
      <c r="B32" s="4" t="n">
        <v>46163</v>
      </c>
      <c r="C32" s="1" t="s">
        <v>16</v>
      </c>
      <c r="D32" s="1" t="n">
        <v>32</v>
      </c>
      <c r="E32" s="5" t="n">
        <v>474.45</v>
      </c>
      <c r="F32" s="5"/>
      <c r="G32" s="1" t="s">
        <v>10</v>
      </c>
    </row>
    <row r="33" customFormat="false" ht="15" hidden="false" customHeight="true" outlineLevel="0" collapsed="false">
      <c r="A33" s="1" t="s">
        <v>36</v>
      </c>
      <c r="B33" s="4" t="n">
        <v>46051</v>
      </c>
      <c r="C33" s="1" t="s">
        <v>19</v>
      </c>
      <c r="D33" s="1" t="n">
        <v>44</v>
      </c>
      <c r="E33" s="5" t="n">
        <v>387.98</v>
      </c>
      <c r="F33" s="5" t="n">
        <v>0</v>
      </c>
      <c r="G33" s="1" t="s">
        <v>10</v>
      </c>
    </row>
    <row r="34" customFormat="false" ht="15" hidden="false" customHeight="true" outlineLevel="0" collapsed="false">
      <c r="A34" s="1" t="s">
        <v>45</v>
      </c>
      <c r="B34" s="4" t="n">
        <v>46181</v>
      </c>
      <c r="C34" s="1" t="s">
        <v>9</v>
      </c>
      <c r="D34" s="1" t="n">
        <v>30</v>
      </c>
      <c r="E34" s="5" t="n">
        <v>330.06</v>
      </c>
      <c r="F34" s="5" t="n">
        <v>4200.25</v>
      </c>
      <c r="G34" s="1" t="s">
        <v>30</v>
      </c>
    </row>
    <row r="35" customFormat="false" ht="15" hidden="false" customHeight="true" outlineLevel="0" collapsed="false">
      <c r="A35" s="1" t="s">
        <v>46</v>
      </c>
      <c r="B35" s="4" t="n">
        <v>45669</v>
      </c>
      <c r="C35" s="1" t="s">
        <v>12</v>
      </c>
      <c r="D35" s="1" t="n">
        <v>35</v>
      </c>
      <c r="E35" s="5" t="n">
        <v>349.9</v>
      </c>
      <c r="F35" s="5" t="n">
        <v>2428.09</v>
      </c>
      <c r="G35" s="1" t="s">
        <v>30</v>
      </c>
    </row>
    <row r="36" customFormat="false" ht="15" hidden="false" customHeight="true" outlineLevel="0" collapsed="false">
      <c r="A36" s="1" t="s">
        <v>47</v>
      </c>
      <c r="B36" s="4" t="n">
        <v>46213</v>
      </c>
      <c r="C36" s="1" t="s">
        <v>19</v>
      </c>
      <c r="D36" s="1" t="n">
        <v>32</v>
      </c>
      <c r="E36" s="5" t="n">
        <v>406.97</v>
      </c>
      <c r="F36" s="5" t="n">
        <v>2363.82</v>
      </c>
      <c r="G36" s="1" t="s">
        <v>17</v>
      </c>
    </row>
    <row r="37" customFormat="false" ht="15" hidden="false" customHeight="true" outlineLevel="0" collapsed="false">
      <c r="B37" s="4" t="n">
        <v>46173</v>
      </c>
      <c r="C37" s="1" t="s">
        <v>9</v>
      </c>
      <c r="D37" s="1" t="n">
        <v>66</v>
      </c>
      <c r="E37" s="5" t="n">
        <v>417.88</v>
      </c>
      <c r="F37" s="5" t="n">
        <v>2533.2</v>
      </c>
      <c r="G37" s="1" t="s">
        <v>13</v>
      </c>
    </row>
    <row r="38" customFormat="false" ht="15" hidden="false" customHeight="true" outlineLevel="0" collapsed="false">
      <c r="A38" s="1" t="s">
        <v>48</v>
      </c>
      <c r="B38" s="4" t="n">
        <v>45775</v>
      </c>
      <c r="C38" s="1" t="s">
        <v>9</v>
      </c>
      <c r="D38" s="1" t="n">
        <v>79</v>
      </c>
      <c r="E38" s="5" t="n">
        <v>443.35</v>
      </c>
      <c r="F38" s="5" t="n">
        <v>2545.82</v>
      </c>
      <c r="G38" s="1" t="s">
        <v>30</v>
      </c>
    </row>
    <row r="39" customFormat="false" ht="15" hidden="false" customHeight="true" outlineLevel="0" collapsed="false">
      <c r="A39" s="1" t="s">
        <v>49</v>
      </c>
      <c r="B39" s="4" t="n">
        <v>46081</v>
      </c>
      <c r="C39" s="1" t="s">
        <v>9</v>
      </c>
      <c r="D39" s="1" t="n">
        <v>64</v>
      </c>
      <c r="E39" s="5" t="n">
        <v>368.33</v>
      </c>
      <c r="F39" s="5" t="n">
        <v>3048.84</v>
      </c>
      <c r="G39" s="1" t="s">
        <v>17</v>
      </c>
    </row>
    <row r="40" customFormat="false" ht="15" hidden="false" customHeight="true" outlineLevel="0" collapsed="false">
      <c r="A40" s="1" t="s">
        <v>50</v>
      </c>
      <c r="B40" s="4" t="n">
        <v>45688</v>
      </c>
      <c r="C40" s="1" t="s">
        <v>9</v>
      </c>
      <c r="D40" s="1" t="n">
        <v>51</v>
      </c>
      <c r="E40" s="5" t="n">
        <v>426.82</v>
      </c>
      <c r="F40" s="5"/>
      <c r="G40" s="1" t="s">
        <v>10</v>
      </c>
    </row>
    <row r="41" customFormat="false" ht="15" hidden="false" customHeight="true" outlineLevel="0" collapsed="false">
      <c r="A41" s="1" t="s">
        <v>51</v>
      </c>
      <c r="B41" s="4" t="n">
        <v>45853</v>
      </c>
      <c r="C41" s="1" t="s">
        <v>12</v>
      </c>
      <c r="D41" s="1" t="n">
        <v>49</v>
      </c>
      <c r="E41" s="5" t="n">
        <v>315.51</v>
      </c>
      <c r="F41" s="5" t="n">
        <v>0</v>
      </c>
      <c r="G41" s="1" t="s">
        <v>10</v>
      </c>
    </row>
    <row r="42" customFormat="false" ht="15" hidden="false" customHeight="true" outlineLevel="0" collapsed="false">
      <c r="A42" s="1" t="s">
        <v>52</v>
      </c>
      <c r="B42" s="4" t="n">
        <v>45964</v>
      </c>
      <c r="C42" s="1" t="s">
        <v>12</v>
      </c>
      <c r="D42" s="1" t="n">
        <v>45</v>
      </c>
      <c r="E42" s="5" t="n">
        <v>281.16</v>
      </c>
      <c r="F42" s="5" t="n">
        <v>1217.39</v>
      </c>
      <c r="G42" s="1" t="s">
        <v>13</v>
      </c>
    </row>
    <row r="43" customFormat="false" ht="15" hidden="false" customHeight="true" outlineLevel="0" collapsed="false">
      <c r="A43" s="1" t="s">
        <v>53</v>
      </c>
      <c r="B43" s="4" t="n">
        <v>45981</v>
      </c>
      <c r="C43" s="1" t="s">
        <v>9</v>
      </c>
      <c r="D43" s="1" t="n">
        <v>75</v>
      </c>
      <c r="E43" s="5" t="n">
        <v>405.17</v>
      </c>
      <c r="F43" s="5"/>
      <c r="G43" s="1" t="s">
        <v>17</v>
      </c>
    </row>
    <row r="44" customFormat="false" ht="15" hidden="false" customHeight="true" outlineLevel="0" collapsed="false">
      <c r="A44" s="1" t="s">
        <v>54</v>
      </c>
      <c r="B44" s="4" t="n">
        <v>46084</v>
      </c>
      <c r="C44" s="1" t="s">
        <v>19</v>
      </c>
      <c r="D44" s="1" t="n">
        <v>65</v>
      </c>
      <c r="E44" s="5" t="n">
        <v>261.13</v>
      </c>
      <c r="F44" s="5" t="n">
        <v>0</v>
      </c>
    </row>
    <row r="45" customFormat="false" ht="15" hidden="false" customHeight="true" outlineLevel="0" collapsed="false">
      <c r="A45" s="1" t="s">
        <v>55</v>
      </c>
      <c r="B45" s="4" t="n">
        <v>45815</v>
      </c>
      <c r="C45" s="1" t="s">
        <v>12</v>
      </c>
      <c r="D45" s="1" t="n">
        <v>70</v>
      </c>
      <c r="E45" s="5" t="n">
        <v>311.04</v>
      </c>
      <c r="F45" s="5" t="n">
        <v>1604.63</v>
      </c>
      <c r="G45" s="1" t="s">
        <v>17</v>
      </c>
    </row>
    <row r="46" customFormat="false" ht="15" hidden="false" customHeight="true" outlineLevel="0" collapsed="false">
      <c r="A46" s="1" t="s">
        <v>56</v>
      </c>
      <c r="B46" s="4" t="n">
        <v>45696</v>
      </c>
      <c r="C46" s="1" t="s">
        <v>12</v>
      </c>
      <c r="D46" s="1" t="n">
        <v>43</v>
      </c>
      <c r="E46" s="5" t="n">
        <v>303.7</v>
      </c>
      <c r="F46" s="5" t="n">
        <v>0</v>
      </c>
      <c r="G46" s="1" t="s">
        <v>10</v>
      </c>
    </row>
    <row r="47" customFormat="false" ht="15" hidden="false" customHeight="true" outlineLevel="0" collapsed="false">
      <c r="A47" s="1" t="s">
        <v>57</v>
      </c>
      <c r="B47" s="4" t="n">
        <v>45978</v>
      </c>
      <c r="C47" s="1" t="s">
        <v>58</v>
      </c>
      <c r="D47" s="1" t="n">
        <v>66</v>
      </c>
      <c r="E47" s="5" t="n">
        <v>311.29</v>
      </c>
      <c r="F47" s="5" t="n">
        <v>4518.02</v>
      </c>
      <c r="G47" s="1" t="s">
        <v>59</v>
      </c>
    </row>
    <row r="48" customFormat="false" ht="15" hidden="false" customHeight="true" outlineLevel="0" collapsed="false">
      <c r="B48" s="4" t="n">
        <v>45892</v>
      </c>
      <c r="C48" s="1" t="s">
        <v>19</v>
      </c>
      <c r="D48" s="1" t="n">
        <v>54</v>
      </c>
      <c r="E48" s="5" t="n">
        <v>291.02</v>
      </c>
      <c r="F48" s="5" t="n">
        <v>0</v>
      </c>
      <c r="G48" s="1" t="s">
        <v>10</v>
      </c>
    </row>
    <row r="49" customFormat="false" ht="15" hidden="false" customHeight="true" outlineLevel="0" collapsed="false">
      <c r="A49" s="1" t="s">
        <v>60</v>
      </c>
      <c r="B49" s="4" t="n">
        <v>46220</v>
      </c>
      <c r="C49" s="1" t="s">
        <v>40</v>
      </c>
      <c r="D49" s="1" t="n">
        <v>54</v>
      </c>
      <c r="E49" s="5" t="n">
        <v>124.69</v>
      </c>
      <c r="F49" s="5" t="n">
        <v>0</v>
      </c>
      <c r="G49" s="1" t="s">
        <v>10</v>
      </c>
    </row>
    <row r="50" customFormat="false" ht="15" hidden="false" customHeight="true" outlineLevel="0" collapsed="false">
      <c r="A50" s="1" t="s">
        <v>61</v>
      </c>
      <c r="B50" s="4" t="n">
        <v>46142</v>
      </c>
      <c r="C50" s="1" t="s">
        <v>12</v>
      </c>
      <c r="D50" s="1" t="n">
        <v>26</v>
      </c>
      <c r="E50" s="5" t="n">
        <v>318.96</v>
      </c>
      <c r="F50" s="5" t="n">
        <v>1183.35</v>
      </c>
      <c r="G50" s="1" t="s">
        <v>17</v>
      </c>
    </row>
    <row r="51" customFormat="false" ht="15" hidden="false" customHeight="true" outlineLevel="0" collapsed="false">
      <c r="A51" s="1" t="s">
        <v>62</v>
      </c>
      <c r="B51" s="4" t="n">
        <v>45722</v>
      </c>
      <c r="C51" s="1" t="s">
        <v>12</v>
      </c>
      <c r="D51" s="1" t="n">
        <v>64</v>
      </c>
      <c r="E51" s="5" t="n">
        <v>219.5</v>
      </c>
      <c r="F51" s="5" t="n">
        <v>2386.9</v>
      </c>
      <c r="G51" s="1" t="s">
        <v>13</v>
      </c>
    </row>
    <row r="52" customFormat="false" ht="15" hidden="false" customHeight="true" outlineLevel="0" collapsed="false">
      <c r="A52" s="1" t="s">
        <v>63</v>
      </c>
      <c r="B52" s="4" t="n">
        <v>45947</v>
      </c>
      <c r="C52" s="1" t="s">
        <v>19</v>
      </c>
      <c r="D52" s="1" t="n">
        <v>63</v>
      </c>
      <c r="E52" s="5"/>
      <c r="F52" s="5" t="n">
        <v>1208.42</v>
      </c>
      <c r="G52" s="1" t="s">
        <v>13</v>
      </c>
    </row>
    <row r="53" customFormat="false" ht="15" hidden="false" customHeight="true" outlineLevel="0" collapsed="false">
      <c r="A53" s="1" t="s">
        <v>64</v>
      </c>
      <c r="B53" s="4" t="n">
        <v>45866</v>
      </c>
      <c r="C53" s="1" t="s">
        <v>16</v>
      </c>
      <c r="D53" s="1" t="n">
        <v>43</v>
      </c>
      <c r="E53" s="5" t="n">
        <v>367.06</v>
      </c>
      <c r="F53" s="5" t="n">
        <v>2244.89</v>
      </c>
      <c r="G53" s="1" t="s">
        <v>30</v>
      </c>
    </row>
    <row r="54" customFormat="false" ht="15" hidden="false" customHeight="true" outlineLevel="0" collapsed="false">
      <c r="A54" s="1" t="s">
        <v>65</v>
      </c>
      <c r="B54" s="4" t="n">
        <v>45815</v>
      </c>
      <c r="C54" s="1" t="s">
        <v>12</v>
      </c>
      <c r="E54" s="5" t="n">
        <v>279.19</v>
      </c>
      <c r="F54" s="5" t="n">
        <v>0</v>
      </c>
      <c r="G54" s="1" t="s">
        <v>10</v>
      </c>
    </row>
    <row r="55" customFormat="false" ht="15" hidden="false" customHeight="true" outlineLevel="0" collapsed="false">
      <c r="A55" s="1" t="s">
        <v>66</v>
      </c>
      <c r="B55" s="4" t="n">
        <v>46183</v>
      </c>
      <c r="C55" s="1" t="s">
        <v>9</v>
      </c>
      <c r="D55" s="1" t="n">
        <v>73</v>
      </c>
      <c r="E55" s="5" t="n">
        <v>521.43</v>
      </c>
      <c r="F55" s="5" t="n">
        <v>0</v>
      </c>
      <c r="G55" s="1" t="s">
        <v>10</v>
      </c>
    </row>
    <row r="56" customFormat="false" ht="15" hidden="false" customHeight="true" outlineLevel="0" collapsed="false">
      <c r="A56" s="1" t="s">
        <v>67</v>
      </c>
      <c r="B56" s="4" t="n">
        <v>46179</v>
      </c>
      <c r="C56" s="1" t="s">
        <v>12</v>
      </c>
      <c r="D56" s="1" t="n">
        <v>38</v>
      </c>
      <c r="E56" s="5" t="n">
        <v>316.9</v>
      </c>
      <c r="F56" s="5" t="n">
        <v>2895.16</v>
      </c>
      <c r="G56" s="1" t="s">
        <v>30</v>
      </c>
    </row>
    <row r="57" customFormat="false" ht="15" hidden="false" customHeight="true" outlineLevel="0" collapsed="false">
      <c r="A57" s="1" t="s">
        <v>68</v>
      </c>
      <c r="B57" s="4" t="n">
        <v>45963</v>
      </c>
      <c r="C57" s="1" t="s">
        <v>40</v>
      </c>
      <c r="D57" s="1" t="n">
        <v>47</v>
      </c>
      <c r="E57" s="5" t="n">
        <v>86.6</v>
      </c>
      <c r="F57" s="5" t="n">
        <v>0</v>
      </c>
      <c r="G57" s="1" t="s">
        <v>10</v>
      </c>
    </row>
    <row r="58" customFormat="false" ht="15" hidden="false" customHeight="true" outlineLevel="0" collapsed="false">
      <c r="A58" s="1" t="s">
        <v>69</v>
      </c>
      <c r="B58" s="4" t="n">
        <v>45782</v>
      </c>
      <c r="C58" s="1" t="s">
        <v>12</v>
      </c>
      <c r="D58" s="1" t="n">
        <v>32</v>
      </c>
      <c r="E58" s="5" t="n">
        <v>216.38</v>
      </c>
      <c r="F58" s="5" t="n">
        <v>0</v>
      </c>
      <c r="G58" s="1" t="s">
        <v>10</v>
      </c>
    </row>
    <row r="59" customFormat="false" ht="15" hidden="false" customHeight="true" outlineLevel="0" collapsed="false">
      <c r="A59" s="1" t="s">
        <v>70</v>
      </c>
      <c r="B59" s="4" t="n">
        <v>45858</v>
      </c>
      <c r="C59" s="1" t="s">
        <v>12</v>
      </c>
      <c r="D59" s="1" t="n">
        <v>50</v>
      </c>
      <c r="E59" s="5" t="n">
        <v>268.78</v>
      </c>
      <c r="F59" s="5" t="n">
        <v>1721</v>
      </c>
      <c r="G59" s="1" t="s">
        <v>13</v>
      </c>
    </row>
    <row r="60" customFormat="false" ht="15" hidden="false" customHeight="true" outlineLevel="0" collapsed="false">
      <c r="A60" s="1" t="s">
        <v>71</v>
      </c>
      <c r="B60" s="4" t="n">
        <v>46219</v>
      </c>
      <c r="C60" s="1" t="s">
        <v>19</v>
      </c>
      <c r="D60" s="1" t="n">
        <v>36</v>
      </c>
      <c r="E60" s="5" t="n">
        <v>381.59</v>
      </c>
      <c r="F60" s="5" t="n">
        <v>0</v>
      </c>
      <c r="G60" s="1" t="s">
        <v>10</v>
      </c>
    </row>
    <row r="61" customFormat="false" ht="15" hidden="false" customHeight="true" outlineLevel="0" collapsed="false">
      <c r="A61" s="1" t="s">
        <v>72</v>
      </c>
      <c r="B61" s="4" t="n">
        <v>45854</v>
      </c>
      <c r="C61" s="1" t="s">
        <v>19</v>
      </c>
      <c r="D61" s="1" t="n">
        <v>40</v>
      </c>
      <c r="E61" s="5"/>
      <c r="F61" s="5" t="n">
        <v>3273.23</v>
      </c>
      <c r="G61" s="1" t="s">
        <v>17</v>
      </c>
    </row>
    <row r="62" customFormat="false" ht="15" hidden="false" customHeight="true" outlineLevel="0" collapsed="false">
      <c r="A62" s="1" t="s">
        <v>60</v>
      </c>
      <c r="B62" s="4" t="n">
        <v>46220</v>
      </c>
      <c r="C62" s="1" t="s">
        <v>40</v>
      </c>
      <c r="D62" s="1" t="n">
        <v>54</v>
      </c>
      <c r="E62" s="5" t="n">
        <v>124.69</v>
      </c>
      <c r="F62" s="5" t="n">
        <v>0</v>
      </c>
      <c r="G62" s="1" t="s">
        <v>10</v>
      </c>
    </row>
    <row r="63" customFormat="false" ht="15" hidden="false" customHeight="true" outlineLevel="0" collapsed="false">
      <c r="A63" s="1" t="s">
        <v>73</v>
      </c>
      <c r="B63" s="4" t="n">
        <v>45837</v>
      </c>
      <c r="D63" s="1" t="n">
        <v>24</v>
      </c>
      <c r="E63" s="5" t="n">
        <v>319.16</v>
      </c>
      <c r="F63" s="5" t="n">
        <v>0</v>
      </c>
      <c r="G63" s="1" t="s">
        <v>10</v>
      </c>
    </row>
    <row r="64" customFormat="false" ht="15" hidden="false" customHeight="true" outlineLevel="0" collapsed="false">
      <c r="A64" s="1" t="s">
        <v>74</v>
      </c>
      <c r="B64" s="4" t="n">
        <v>46169</v>
      </c>
      <c r="C64" s="1" t="s">
        <v>16</v>
      </c>
      <c r="D64" s="1" t="n">
        <v>68</v>
      </c>
      <c r="E64" s="5" t="n">
        <v>389.3</v>
      </c>
      <c r="F64" s="5" t="n">
        <v>3463.86</v>
      </c>
      <c r="G64" s="1" t="s">
        <v>13</v>
      </c>
    </row>
    <row r="65" customFormat="false" ht="15" hidden="false" customHeight="true" outlineLevel="0" collapsed="false">
      <c r="A65" s="1" t="s">
        <v>75</v>
      </c>
      <c r="B65" s="4" t="n">
        <v>45800</v>
      </c>
      <c r="C65" s="1" t="s">
        <v>9</v>
      </c>
      <c r="D65" s="1" t="n">
        <v>31</v>
      </c>
      <c r="E65" s="5" t="n">
        <v>478.58</v>
      </c>
      <c r="F65" s="5" t="n">
        <v>0</v>
      </c>
      <c r="G65" s="1" t="s">
        <v>10</v>
      </c>
    </row>
    <row r="66" customFormat="false" ht="15" hidden="false" customHeight="true" outlineLevel="0" collapsed="false">
      <c r="A66" s="1" t="s">
        <v>76</v>
      </c>
      <c r="B66" s="4" t="n">
        <v>46009</v>
      </c>
      <c r="C66" s="1" t="s">
        <v>19</v>
      </c>
      <c r="D66" s="1" t="n">
        <v>43</v>
      </c>
      <c r="E66" s="5" t="n">
        <v>328.07</v>
      </c>
      <c r="F66" s="5" t="n">
        <v>2881.08</v>
      </c>
      <c r="G66" s="1" t="s">
        <v>17</v>
      </c>
    </row>
    <row r="67" customFormat="false" ht="15" hidden="false" customHeight="true" outlineLevel="0" collapsed="false">
      <c r="A67" s="1" t="s">
        <v>77</v>
      </c>
      <c r="B67" s="4" t="n">
        <v>45924</v>
      </c>
      <c r="C67" s="1" t="s">
        <v>19</v>
      </c>
      <c r="D67" s="1" t="n">
        <v>48</v>
      </c>
      <c r="E67" s="5" t="n">
        <v>378.18</v>
      </c>
      <c r="F67" s="5" t="n">
        <v>1792.67</v>
      </c>
      <c r="G67" s="1" t="s">
        <v>17</v>
      </c>
    </row>
    <row r="68" customFormat="false" ht="15" hidden="false" customHeight="true" outlineLevel="0" collapsed="false">
      <c r="A68" s="1" t="s">
        <v>78</v>
      </c>
      <c r="B68" s="4" t="n">
        <v>45861</v>
      </c>
      <c r="C68" s="1" t="s">
        <v>19</v>
      </c>
      <c r="D68" s="1" t="n">
        <v>28</v>
      </c>
      <c r="E68" s="5" t="n">
        <v>354.35</v>
      </c>
      <c r="F68" s="5" t="n">
        <v>847.39</v>
      </c>
      <c r="G68" s="1" t="s">
        <v>13</v>
      </c>
    </row>
    <row r="69" customFormat="false" ht="15" hidden="false" customHeight="true" outlineLevel="0" collapsed="false">
      <c r="A69" s="1" t="s">
        <v>79</v>
      </c>
      <c r="B69" s="4" t="n">
        <v>45739</v>
      </c>
      <c r="C69" s="1" t="s">
        <v>19</v>
      </c>
      <c r="D69" s="1" t="n">
        <v>26</v>
      </c>
      <c r="E69" s="5" t="n">
        <v>281.97</v>
      </c>
      <c r="F69" s="5" t="n">
        <v>1052.21</v>
      </c>
      <c r="G69" s="1" t="s">
        <v>13</v>
      </c>
    </row>
    <row r="70" customFormat="false" ht="15" hidden="false" customHeight="true" outlineLevel="0" collapsed="false">
      <c r="A70" s="1" t="s">
        <v>80</v>
      </c>
      <c r="B70" s="4" t="n">
        <v>46023</v>
      </c>
      <c r="C70" s="1" t="s">
        <v>19</v>
      </c>
      <c r="D70" s="1" t="n">
        <v>26</v>
      </c>
      <c r="E70" s="5" t="n">
        <v>331.25</v>
      </c>
      <c r="F70" s="5"/>
      <c r="G70" s="1" t="s">
        <v>10</v>
      </c>
    </row>
    <row r="71" customFormat="false" ht="15" hidden="false" customHeight="true" outlineLevel="0" collapsed="false">
      <c r="A71" s="1" t="s">
        <v>81</v>
      </c>
      <c r="B71" s="4" t="n">
        <v>45847</v>
      </c>
      <c r="C71" s="1" t="s">
        <v>19</v>
      </c>
      <c r="D71" s="1" t="n">
        <v>28</v>
      </c>
      <c r="E71" s="5" t="n">
        <v>347.04</v>
      </c>
      <c r="F71" s="5" t="n">
        <v>1963.68</v>
      </c>
      <c r="G71" s="1" t="s">
        <v>17</v>
      </c>
    </row>
    <row r="72" customFormat="false" ht="15" hidden="false" customHeight="true" outlineLevel="0" collapsed="false">
      <c r="A72" s="1" t="s">
        <v>82</v>
      </c>
      <c r="B72" s="4" t="n">
        <v>45707</v>
      </c>
      <c r="D72" s="1" t="n">
        <v>40</v>
      </c>
      <c r="E72" s="5" t="n">
        <v>540.37</v>
      </c>
      <c r="F72" s="5" t="n">
        <v>0</v>
      </c>
      <c r="G72" s="1" t="s">
        <v>10</v>
      </c>
    </row>
    <row r="73" customFormat="false" ht="15" hidden="false" customHeight="true" outlineLevel="0" collapsed="false">
      <c r="A73" s="1" t="s">
        <v>83</v>
      </c>
      <c r="B73" s="4" t="n">
        <v>46042</v>
      </c>
      <c r="C73" s="1" t="s">
        <v>19</v>
      </c>
      <c r="D73" s="1" t="n">
        <v>53</v>
      </c>
      <c r="E73" s="5" t="n">
        <v>272.26</v>
      </c>
      <c r="F73" s="5" t="n">
        <v>3211.55</v>
      </c>
      <c r="G73" s="1" t="s">
        <v>30</v>
      </c>
    </row>
    <row r="74" customFormat="false" ht="15" hidden="false" customHeight="true" outlineLevel="0" collapsed="false">
      <c r="A74" s="1" t="s">
        <v>84</v>
      </c>
      <c r="B74" s="4" t="n">
        <v>45822</v>
      </c>
      <c r="C74" s="1" t="s">
        <v>16</v>
      </c>
      <c r="D74" s="1" t="n">
        <v>66</v>
      </c>
      <c r="E74" s="5" t="n">
        <v>339.61</v>
      </c>
      <c r="F74" s="5" t="n">
        <v>0</v>
      </c>
      <c r="G74" s="1" t="s">
        <v>10</v>
      </c>
    </row>
    <row r="75" customFormat="false" ht="15" hidden="false" customHeight="true" outlineLevel="0" collapsed="false">
      <c r="A75" s="1" t="s">
        <v>85</v>
      </c>
      <c r="B75" s="4" t="n">
        <v>46168</v>
      </c>
      <c r="C75" s="1" t="s">
        <v>86</v>
      </c>
      <c r="D75" s="1" t="n">
        <v>20</v>
      </c>
      <c r="E75" s="5" t="n">
        <v>288.16</v>
      </c>
      <c r="F75" s="5" t="n">
        <v>0</v>
      </c>
      <c r="G75" s="1" t="s">
        <v>10</v>
      </c>
    </row>
    <row r="76" customFormat="false" ht="15" hidden="false" customHeight="true" outlineLevel="0" collapsed="false">
      <c r="A76" s="1" t="s">
        <v>87</v>
      </c>
      <c r="B76" s="4" t="n">
        <v>46176</v>
      </c>
      <c r="C76" s="1" t="s">
        <v>19</v>
      </c>
      <c r="D76" s="1" t="n">
        <v>23</v>
      </c>
      <c r="E76" s="5" t="n">
        <v>257.3</v>
      </c>
      <c r="F76" s="5" t="n">
        <v>3790.15</v>
      </c>
      <c r="G76" s="1" t="s">
        <v>30</v>
      </c>
    </row>
    <row r="77" customFormat="false" ht="15" hidden="false" customHeight="true" outlineLevel="0" collapsed="false">
      <c r="A77" s="1" t="s">
        <v>88</v>
      </c>
      <c r="B77" s="4" t="n">
        <v>46188</v>
      </c>
      <c r="C77" s="1" t="s">
        <v>19</v>
      </c>
      <c r="D77" s="1" t="n">
        <v>23</v>
      </c>
      <c r="E77" s="5" t="n">
        <v>364.44</v>
      </c>
      <c r="F77" s="5" t="n">
        <v>1228.11</v>
      </c>
      <c r="G77" s="1" t="s">
        <v>30</v>
      </c>
    </row>
    <row r="78" customFormat="false" ht="15" hidden="false" customHeight="true" outlineLevel="0" collapsed="false">
      <c r="A78" s="1" t="s">
        <v>89</v>
      </c>
      <c r="B78" s="4" t="n">
        <v>46077</v>
      </c>
      <c r="C78" s="1" t="s">
        <v>19</v>
      </c>
      <c r="D78" s="1" t="n">
        <v>59</v>
      </c>
      <c r="E78" s="5" t="n">
        <v>328.52</v>
      </c>
      <c r="F78" s="5" t="n">
        <v>936.07</v>
      </c>
      <c r="G78" s="1" t="s">
        <v>17</v>
      </c>
    </row>
    <row r="79" customFormat="false" ht="15" hidden="false" customHeight="true" outlineLevel="0" collapsed="false">
      <c r="A79" s="1" t="s">
        <v>90</v>
      </c>
      <c r="B79" s="4"/>
      <c r="C79" s="1" t="s">
        <v>9</v>
      </c>
      <c r="D79" s="1" t="n">
        <v>43</v>
      </c>
      <c r="E79" s="5" t="n">
        <v>530.28</v>
      </c>
      <c r="F79" s="5" t="n">
        <v>0</v>
      </c>
      <c r="G79" s="1" t="s">
        <v>10</v>
      </c>
    </row>
    <row r="80" customFormat="false" ht="15" hidden="false" customHeight="true" outlineLevel="0" collapsed="false">
      <c r="A80" s="1" t="s">
        <v>91</v>
      </c>
      <c r="B80" s="4" t="n">
        <v>46103</v>
      </c>
      <c r="C80" s="1" t="s">
        <v>9</v>
      </c>
      <c r="D80" s="1" t="n">
        <v>40</v>
      </c>
      <c r="E80" s="5" t="n">
        <v>341.79</v>
      </c>
      <c r="F80" s="5" t="n">
        <v>2422.46</v>
      </c>
      <c r="G80" s="1" t="s">
        <v>17</v>
      </c>
    </row>
    <row r="81" customFormat="false" ht="15" hidden="false" customHeight="true" outlineLevel="0" collapsed="false">
      <c r="A81" s="1" t="s">
        <v>92</v>
      </c>
      <c r="B81" s="4" t="n">
        <v>46076</v>
      </c>
      <c r="C81" s="1" t="s">
        <v>12</v>
      </c>
      <c r="E81" s="5" t="n">
        <v>245.28</v>
      </c>
      <c r="F81" s="5" t="n">
        <v>2676.35</v>
      </c>
      <c r="G81" s="1" t="s">
        <v>13</v>
      </c>
    </row>
    <row r="82" customFormat="false" ht="15" hidden="false" customHeight="true" outlineLevel="0" collapsed="false">
      <c r="A82" s="1" t="s">
        <v>93</v>
      </c>
      <c r="B82" s="4" t="n">
        <v>46056</v>
      </c>
      <c r="C82" s="1" t="s">
        <v>19</v>
      </c>
      <c r="D82" s="1" t="n">
        <v>24</v>
      </c>
      <c r="E82" s="5" t="n">
        <v>387.6</v>
      </c>
      <c r="F82" s="5" t="n">
        <v>0</v>
      </c>
      <c r="G82" s="1" t="s">
        <v>10</v>
      </c>
    </row>
    <row r="83" customFormat="false" ht="15" hidden="false" customHeight="true" outlineLevel="0" collapsed="false">
      <c r="A83" s="1" t="s">
        <v>94</v>
      </c>
      <c r="B83" s="4" t="n">
        <v>46081</v>
      </c>
      <c r="D83" s="1" t="n">
        <v>42</v>
      </c>
      <c r="E83" s="5" t="n">
        <v>122.56</v>
      </c>
      <c r="F83" s="5" t="n">
        <v>926.1</v>
      </c>
      <c r="G83" s="1" t="s">
        <v>17</v>
      </c>
    </row>
    <row r="84" customFormat="false" ht="15" hidden="false" customHeight="true" outlineLevel="0" collapsed="false">
      <c r="A84" s="1" t="s">
        <v>95</v>
      </c>
      <c r="B84" s="4" t="n">
        <v>46208</v>
      </c>
      <c r="C84" s="1" t="s">
        <v>12</v>
      </c>
      <c r="D84" s="1" t="n">
        <v>57</v>
      </c>
      <c r="E84" s="5" t="n">
        <v>238.14</v>
      </c>
      <c r="F84" s="5" t="n">
        <v>1683.8</v>
      </c>
      <c r="G84" s="1" t="s">
        <v>17</v>
      </c>
    </row>
    <row r="85" customFormat="false" ht="15" hidden="false" customHeight="true" outlineLevel="0" collapsed="false">
      <c r="A85" s="1" t="s">
        <v>96</v>
      </c>
      <c r="B85" s="4" t="n">
        <v>45679</v>
      </c>
      <c r="C85" s="1" t="s">
        <v>19</v>
      </c>
      <c r="D85" s="1" t="n">
        <v>46</v>
      </c>
      <c r="E85" s="5" t="n">
        <v>373.85</v>
      </c>
      <c r="F85" s="5" t="n">
        <v>2753.69</v>
      </c>
      <c r="G85" s="1" t="s">
        <v>30</v>
      </c>
    </row>
    <row r="86" customFormat="false" ht="15" hidden="false" customHeight="true" outlineLevel="0" collapsed="false">
      <c r="A86" s="1" t="s">
        <v>97</v>
      </c>
      <c r="B86" s="4" t="n">
        <v>46028</v>
      </c>
      <c r="C86" s="1" t="s">
        <v>9</v>
      </c>
      <c r="D86" s="1" t="n">
        <v>24</v>
      </c>
      <c r="E86" s="5" t="n">
        <v>382.95</v>
      </c>
      <c r="F86" s="5" t="n">
        <v>0</v>
      </c>
      <c r="G86" s="1" t="s">
        <v>10</v>
      </c>
    </row>
    <row r="87" customFormat="false" ht="15" hidden="false" customHeight="true" outlineLevel="0" collapsed="false">
      <c r="A87" s="1" t="s">
        <v>98</v>
      </c>
      <c r="B87" s="4" t="n">
        <v>46157</v>
      </c>
      <c r="C87" s="1" t="s">
        <v>19</v>
      </c>
      <c r="D87" s="1" t="n">
        <v>40</v>
      </c>
      <c r="E87" s="5" t="n">
        <v>273.89</v>
      </c>
      <c r="F87" s="5" t="n">
        <v>0</v>
      </c>
      <c r="G87" s="1" t="s">
        <v>10</v>
      </c>
    </row>
    <row r="88" customFormat="false" ht="15" hidden="false" customHeight="true" outlineLevel="0" collapsed="false">
      <c r="A88" s="1" t="s">
        <v>99</v>
      </c>
      <c r="B88" s="4" t="n">
        <v>46195</v>
      </c>
      <c r="C88" s="1" t="s">
        <v>19</v>
      </c>
      <c r="D88" s="1" t="n">
        <v>18</v>
      </c>
      <c r="E88" s="5" t="n">
        <v>358.91</v>
      </c>
      <c r="F88" s="5" t="n">
        <v>0</v>
      </c>
      <c r="G88" s="1" t="s">
        <v>10</v>
      </c>
    </row>
    <row r="89" customFormat="false" ht="15" hidden="false" customHeight="true" outlineLevel="0" collapsed="false">
      <c r="A89" s="1" t="s">
        <v>100</v>
      </c>
      <c r="B89" s="4" t="n">
        <v>46185</v>
      </c>
      <c r="C89" s="1" t="s">
        <v>12</v>
      </c>
      <c r="D89" s="1" t="n">
        <v>43</v>
      </c>
      <c r="E89" s="5" t="n">
        <v>252.48</v>
      </c>
      <c r="F89" s="5" t="n">
        <v>-10</v>
      </c>
      <c r="G89" s="1" t="s">
        <v>13</v>
      </c>
    </row>
    <row r="90" customFormat="false" ht="15" hidden="false" customHeight="true" outlineLevel="0" collapsed="false">
      <c r="A90" s="1" t="s">
        <v>101</v>
      </c>
      <c r="B90" s="4" t="n">
        <v>46205</v>
      </c>
      <c r="C90" s="1" t="s">
        <v>9</v>
      </c>
      <c r="D90" s="1" t="n">
        <v>22</v>
      </c>
      <c r="E90" s="5" t="n">
        <v>361.98</v>
      </c>
      <c r="F90" s="5" t="n">
        <v>0</v>
      </c>
      <c r="G90" s="1" t="s">
        <v>10</v>
      </c>
    </row>
    <row r="91" customFormat="false" ht="15" hidden="false" customHeight="true" outlineLevel="0" collapsed="false">
      <c r="A91" s="1" t="s">
        <v>102</v>
      </c>
      <c r="B91" s="4" t="n">
        <v>45939</v>
      </c>
      <c r="C91" s="1" t="s">
        <v>19</v>
      </c>
      <c r="D91" s="1" t="n">
        <v>40</v>
      </c>
      <c r="E91" s="5" t="n">
        <v>343.61</v>
      </c>
      <c r="F91" s="5"/>
      <c r="G91" s="1" t="s">
        <v>17</v>
      </c>
    </row>
    <row r="92" customFormat="false" ht="15" hidden="false" customHeight="true" outlineLevel="0" collapsed="false">
      <c r="A92" s="1" t="s">
        <v>103</v>
      </c>
      <c r="B92" s="4" t="n">
        <v>45732</v>
      </c>
      <c r="C92" s="1" t="s">
        <v>9</v>
      </c>
      <c r="D92" s="1" t="n">
        <v>77</v>
      </c>
      <c r="E92" s="5" t="n">
        <v>416.49</v>
      </c>
      <c r="F92" s="5" t="n">
        <v>0</v>
      </c>
    </row>
    <row r="93" customFormat="false" ht="15" hidden="false" customHeight="true" outlineLevel="0" collapsed="false">
      <c r="A93" s="1" t="s">
        <v>104</v>
      </c>
      <c r="B93" s="4" t="n">
        <v>45799</v>
      </c>
      <c r="C93" s="1" t="s">
        <v>9</v>
      </c>
      <c r="D93" s="1" t="n">
        <v>26</v>
      </c>
      <c r="E93" s="5" t="n">
        <v>392.31</v>
      </c>
      <c r="F93" s="5" t="n">
        <v>0</v>
      </c>
      <c r="G93" s="1" t="s">
        <v>105</v>
      </c>
    </row>
    <row r="94" customFormat="false" ht="15" hidden="false" customHeight="true" outlineLevel="0" collapsed="false">
      <c r="A94" s="1" t="s">
        <v>106</v>
      </c>
      <c r="B94" s="4" t="n">
        <v>45712</v>
      </c>
      <c r="C94" s="1" t="s">
        <v>12</v>
      </c>
      <c r="D94" s="1" t="n">
        <v>69</v>
      </c>
      <c r="E94" s="5" t="n">
        <v>358.44</v>
      </c>
      <c r="F94" s="5" t="n">
        <v>0</v>
      </c>
      <c r="G94" s="1" t="s">
        <v>10</v>
      </c>
    </row>
    <row r="95" customFormat="false" ht="15" hidden="false" customHeight="true" outlineLevel="0" collapsed="false">
      <c r="A95" s="1" t="s">
        <v>107</v>
      </c>
      <c r="B95" s="4" t="n">
        <v>45892</v>
      </c>
      <c r="C95" s="1" t="s">
        <v>12</v>
      </c>
      <c r="D95" s="1" t="n">
        <v>23</v>
      </c>
      <c r="E95" s="5" t="n">
        <v>349.59</v>
      </c>
      <c r="F95" s="5" t="n">
        <v>0</v>
      </c>
      <c r="G95" s="1" t="s">
        <v>10</v>
      </c>
    </row>
    <row r="96" customFormat="false" ht="15" hidden="false" customHeight="true" outlineLevel="0" collapsed="false">
      <c r="A96" s="1" t="s">
        <v>108</v>
      </c>
      <c r="B96" s="4" t="n">
        <v>46215</v>
      </c>
      <c r="C96" s="1" t="s">
        <v>19</v>
      </c>
      <c r="D96" s="1" t="n">
        <v>68</v>
      </c>
      <c r="E96" s="5" t="n">
        <v>386.7</v>
      </c>
      <c r="F96" s="5" t="n">
        <v>0</v>
      </c>
      <c r="G96" s="1" t="s">
        <v>10</v>
      </c>
    </row>
    <row r="97" customFormat="false" ht="15" hidden="false" customHeight="true" outlineLevel="0" collapsed="false">
      <c r="A97" s="1" t="s">
        <v>109</v>
      </c>
      <c r="B97" s="4" t="n">
        <v>46142</v>
      </c>
      <c r="C97" s="1" t="s">
        <v>19</v>
      </c>
      <c r="D97" s="1" t="n">
        <v>22</v>
      </c>
      <c r="E97" s="5" t="n">
        <v>256.1</v>
      </c>
      <c r="F97" s="5" t="n">
        <v>0</v>
      </c>
      <c r="G97" s="1" t="s">
        <v>10</v>
      </c>
    </row>
    <row r="98" customFormat="false" ht="15" hidden="false" customHeight="true" outlineLevel="0" collapsed="false">
      <c r="A98" s="1" t="s">
        <v>110</v>
      </c>
      <c r="B98" s="4" t="n">
        <v>45827</v>
      </c>
      <c r="C98" s="1" t="s">
        <v>16</v>
      </c>
      <c r="D98" s="1" t="n">
        <v>39</v>
      </c>
      <c r="E98" s="5" t="n">
        <v>427.93</v>
      </c>
      <c r="F98" s="5" t="n">
        <v>3110.88</v>
      </c>
    </row>
    <row r="99" customFormat="false" ht="15" hidden="false" customHeight="true" outlineLevel="0" collapsed="false">
      <c r="A99" s="1" t="s">
        <v>111</v>
      </c>
      <c r="B99" s="4" t="n">
        <v>46136</v>
      </c>
      <c r="C99" s="1" t="s">
        <v>40</v>
      </c>
      <c r="D99" s="1" t="n">
        <v>19</v>
      </c>
      <c r="E99" s="5" t="n">
        <v>83.21</v>
      </c>
      <c r="F99" s="5" t="n">
        <v>0</v>
      </c>
      <c r="G99" s="1" t="s">
        <v>10</v>
      </c>
    </row>
    <row r="100" customFormat="false" ht="15" hidden="false" customHeight="true" outlineLevel="0" collapsed="false">
      <c r="A100" s="1" t="s">
        <v>112</v>
      </c>
      <c r="B100" s="4" t="n">
        <v>45777</v>
      </c>
      <c r="C100" s="1" t="s">
        <v>9</v>
      </c>
      <c r="D100" s="1" t="n">
        <v>65</v>
      </c>
      <c r="E100" s="5" t="n">
        <v>413.35</v>
      </c>
      <c r="F100" s="5" t="n">
        <v>3583.53</v>
      </c>
      <c r="G100" s="1" t="s">
        <v>17</v>
      </c>
    </row>
    <row r="101" customFormat="false" ht="15" hidden="false" customHeight="true" outlineLevel="0" collapsed="false">
      <c r="A101" s="1" t="s">
        <v>113</v>
      </c>
      <c r="B101" s="4" t="n">
        <v>46196</v>
      </c>
      <c r="C101" s="1" t="s">
        <v>9</v>
      </c>
      <c r="D101" s="1" t="n">
        <v>39</v>
      </c>
      <c r="E101" s="5" t="n">
        <v>409.35</v>
      </c>
      <c r="F101" s="5" t="n">
        <v>0</v>
      </c>
      <c r="G101" s="1" t="s">
        <v>10</v>
      </c>
    </row>
    <row r="102" customFormat="false" ht="15" hidden="false" customHeight="true" outlineLevel="0" collapsed="false">
      <c r="A102" s="1" t="s">
        <v>114</v>
      </c>
      <c r="B102" s="4" t="n">
        <v>45957</v>
      </c>
      <c r="C102" s="1" t="s">
        <v>16</v>
      </c>
      <c r="D102" s="1" t="n">
        <v>21</v>
      </c>
      <c r="E102" s="5" t="n">
        <v>572</v>
      </c>
      <c r="F102" s="5" t="n">
        <v>0</v>
      </c>
      <c r="G102" s="1" t="s">
        <v>10</v>
      </c>
    </row>
    <row r="103" customFormat="false" ht="15" hidden="false" customHeight="true" outlineLevel="0" collapsed="false">
      <c r="A103" s="1" t="s">
        <v>115</v>
      </c>
      <c r="B103" s="4" t="n">
        <v>45740</v>
      </c>
      <c r="C103" s="1" t="s">
        <v>40</v>
      </c>
      <c r="D103" s="1" t="n">
        <v>55</v>
      </c>
      <c r="E103" s="5"/>
      <c r="F103" s="5" t="n">
        <v>0</v>
      </c>
      <c r="G103" s="1" t="s">
        <v>10</v>
      </c>
    </row>
    <row r="104" customFormat="false" ht="15" hidden="false" customHeight="true" outlineLevel="0" collapsed="false">
      <c r="A104" s="1" t="s">
        <v>116</v>
      </c>
      <c r="B104" s="4" t="n">
        <v>46037</v>
      </c>
      <c r="C104" s="1" t="s">
        <v>19</v>
      </c>
      <c r="D104" s="1" t="n">
        <v>74</v>
      </c>
      <c r="E104" s="5" t="n">
        <v>350.74</v>
      </c>
      <c r="F104" s="5" t="n">
        <v>0</v>
      </c>
      <c r="G104" s="1" t="s">
        <v>10</v>
      </c>
    </row>
    <row r="105" customFormat="false" ht="15" hidden="false" customHeight="true" outlineLevel="0" collapsed="false">
      <c r="A105" s="1" t="s">
        <v>117</v>
      </c>
      <c r="B105" s="4" t="n">
        <v>46052</v>
      </c>
      <c r="C105" s="1" t="s">
        <v>19</v>
      </c>
      <c r="D105" s="1" t="n">
        <v>55</v>
      </c>
      <c r="E105" s="5" t="n">
        <v>373.58</v>
      </c>
      <c r="F105" s="5" t="n">
        <v>1362.06</v>
      </c>
      <c r="G105" s="1" t="s">
        <v>17</v>
      </c>
    </row>
    <row r="106" customFormat="false" ht="15" hidden="false" customHeight="true" outlineLevel="0" collapsed="false">
      <c r="A106" s="1" t="s">
        <v>118</v>
      </c>
      <c r="B106" s="4" t="n">
        <v>46022</v>
      </c>
      <c r="C106" s="1" t="s">
        <v>16</v>
      </c>
      <c r="D106" s="1" t="n">
        <v>70</v>
      </c>
      <c r="E106" s="5" t="n">
        <v>542.2</v>
      </c>
      <c r="F106" s="5" t="n">
        <v>0</v>
      </c>
      <c r="G106" s="1" t="s">
        <v>10</v>
      </c>
    </row>
    <row r="107" customFormat="false" ht="15" hidden="false" customHeight="true" outlineLevel="0" collapsed="false">
      <c r="A107" s="1" t="s">
        <v>119</v>
      </c>
      <c r="B107" s="4" t="n">
        <v>46162</v>
      </c>
      <c r="C107" s="1" t="s">
        <v>9</v>
      </c>
      <c r="E107" s="5" t="n">
        <v>512.04</v>
      </c>
      <c r="F107" s="5" t="n">
        <v>828.81</v>
      </c>
      <c r="G107" s="1" t="s">
        <v>17</v>
      </c>
    </row>
    <row r="108" customFormat="false" ht="15" hidden="false" customHeight="true" outlineLevel="0" collapsed="false">
      <c r="A108" s="1" t="s">
        <v>120</v>
      </c>
      <c r="B108" s="4" t="n">
        <v>46050</v>
      </c>
      <c r="C108" s="1" t="s">
        <v>9</v>
      </c>
      <c r="D108" s="1" t="n">
        <v>63</v>
      </c>
      <c r="E108" s="5" t="n">
        <v>343.2</v>
      </c>
      <c r="F108" s="5" t="n">
        <v>3228.11</v>
      </c>
      <c r="G108" s="1" t="s">
        <v>13</v>
      </c>
    </row>
    <row r="109" customFormat="false" ht="15" hidden="false" customHeight="true" outlineLevel="0" collapsed="false">
      <c r="A109" s="1" t="s">
        <v>121</v>
      </c>
      <c r="B109" s="4" t="n">
        <v>45911</v>
      </c>
      <c r="C109" s="1" t="s">
        <v>86</v>
      </c>
      <c r="D109" s="1" t="n">
        <v>31</v>
      </c>
      <c r="E109" s="5" t="n">
        <v>210.02</v>
      </c>
      <c r="F109" s="5" t="n">
        <v>0</v>
      </c>
      <c r="G109" s="1" t="s">
        <v>10</v>
      </c>
    </row>
    <row r="110" customFormat="false" ht="15" hidden="false" customHeight="true" outlineLevel="0" collapsed="false">
      <c r="A110" s="1" t="s">
        <v>122</v>
      </c>
      <c r="B110" s="4" t="n">
        <v>45897</v>
      </c>
      <c r="C110" s="1" t="s">
        <v>12</v>
      </c>
      <c r="D110" s="1" t="n">
        <v>37</v>
      </c>
      <c r="E110" s="5" t="n">
        <v>214.36</v>
      </c>
      <c r="F110" s="5" t="n">
        <v>710.18</v>
      </c>
      <c r="G110" s="1" t="s">
        <v>30</v>
      </c>
    </row>
    <row r="111" customFormat="false" ht="15" hidden="false" customHeight="true" outlineLevel="0" collapsed="false">
      <c r="B111" s="4" t="s">
        <v>123</v>
      </c>
      <c r="C111" s="1" t="s">
        <v>19</v>
      </c>
      <c r="D111" s="1" t="n">
        <v>24</v>
      </c>
      <c r="E111" s="5" t="n">
        <v>295.65</v>
      </c>
      <c r="F111" s="5" t="n">
        <v>0</v>
      </c>
      <c r="G111" s="1" t="s">
        <v>10</v>
      </c>
    </row>
    <row r="112" customFormat="false" ht="15" hidden="false" customHeight="true" outlineLevel="0" collapsed="false">
      <c r="A112" s="1" t="s">
        <v>124</v>
      </c>
      <c r="B112" s="4" t="n">
        <v>45866</v>
      </c>
      <c r="C112" s="1" t="s">
        <v>16</v>
      </c>
      <c r="D112" s="1" t="n">
        <v>80</v>
      </c>
      <c r="E112" s="5" t="n">
        <v>538.52</v>
      </c>
      <c r="F112" s="5" t="n">
        <v>2781.42</v>
      </c>
    </row>
    <row r="113" customFormat="false" ht="15" hidden="false" customHeight="true" outlineLevel="0" collapsed="false">
      <c r="A113" s="1" t="s">
        <v>125</v>
      </c>
      <c r="B113" s="4" t="n">
        <v>45741</v>
      </c>
      <c r="C113" s="1" t="s">
        <v>12</v>
      </c>
      <c r="D113" s="1" t="n">
        <v>58</v>
      </c>
      <c r="E113" s="5" t="n">
        <v>242.61</v>
      </c>
      <c r="F113" s="5" t="n">
        <v>2987.82</v>
      </c>
      <c r="G113" s="1" t="s">
        <v>17</v>
      </c>
    </row>
    <row r="114" customFormat="false" ht="15" hidden="false" customHeight="true" outlineLevel="0" collapsed="false">
      <c r="A114" s="1" t="s">
        <v>126</v>
      </c>
      <c r="B114" s="4" t="n">
        <v>46049</v>
      </c>
      <c r="D114" s="1" t="n">
        <v>57</v>
      </c>
      <c r="E114" s="5" t="n">
        <v>344.16</v>
      </c>
      <c r="F114" s="5" t="n">
        <v>0</v>
      </c>
      <c r="G114" s="1" t="s">
        <v>10</v>
      </c>
    </row>
    <row r="115" customFormat="false" ht="15" hidden="false" customHeight="true" outlineLevel="0" collapsed="false">
      <c r="A115" s="1" t="s">
        <v>127</v>
      </c>
      <c r="B115" s="4" t="n">
        <v>45910</v>
      </c>
      <c r="C115" s="1" t="s">
        <v>9</v>
      </c>
      <c r="D115" s="1" t="n">
        <v>33</v>
      </c>
      <c r="E115" s="5" t="n">
        <v>455.93</v>
      </c>
      <c r="F115" s="5" t="n">
        <v>4358.4</v>
      </c>
    </row>
    <row r="116" customFormat="false" ht="15" hidden="false" customHeight="true" outlineLevel="0" collapsed="false">
      <c r="A116" s="1" t="s">
        <v>128</v>
      </c>
      <c r="B116" s="4" t="n">
        <v>45878</v>
      </c>
      <c r="C116" s="1" t="s">
        <v>16</v>
      </c>
      <c r="D116" s="1" t="n">
        <v>60</v>
      </c>
      <c r="E116" s="5" t="n">
        <v>345.58</v>
      </c>
      <c r="F116" s="5" t="n">
        <v>3094.19</v>
      </c>
      <c r="G116" s="1" t="s">
        <v>17</v>
      </c>
    </row>
    <row r="117" customFormat="false" ht="15" hidden="false" customHeight="true" outlineLevel="0" collapsed="false">
      <c r="A117" s="1" t="s">
        <v>129</v>
      </c>
      <c r="B117" s="4" t="n">
        <v>46170</v>
      </c>
      <c r="C117" s="1" t="s">
        <v>16</v>
      </c>
      <c r="D117" s="1" t="n">
        <v>51</v>
      </c>
      <c r="E117" s="5" t="n">
        <v>387.51</v>
      </c>
      <c r="F117" s="5" t="n">
        <v>708.18</v>
      </c>
      <c r="G117" s="1" t="s">
        <v>13</v>
      </c>
    </row>
    <row r="118" customFormat="false" ht="15" hidden="false" customHeight="true" outlineLevel="0" collapsed="false">
      <c r="A118" s="1" t="s">
        <v>130</v>
      </c>
      <c r="B118" s="4" t="n">
        <v>45789</v>
      </c>
      <c r="C118" s="1" t="s">
        <v>9</v>
      </c>
      <c r="D118" s="1" t="n">
        <v>35</v>
      </c>
      <c r="E118" s="5"/>
      <c r="F118" s="5" t="n">
        <v>0</v>
      </c>
      <c r="G118" s="1" t="s">
        <v>10</v>
      </c>
    </row>
    <row r="119" customFormat="false" ht="15" hidden="false" customHeight="true" outlineLevel="0" collapsed="false">
      <c r="A119" s="1" t="s">
        <v>131</v>
      </c>
      <c r="B119" s="4" t="n">
        <v>46191</v>
      </c>
      <c r="C119" s="1" t="s">
        <v>19</v>
      </c>
      <c r="E119" s="5" t="n">
        <v>434.09</v>
      </c>
      <c r="F119" s="5" t="n">
        <v>541.76</v>
      </c>
      <c r="G119" s="1" t="s">
        <v>17</v>
      </c>
    </row>
    <row r="120" customFormat="false" ht="15" hidden="false" customHeight="true" outlineLevel="0" collapsed="false">
      <c r="A120" s="1" t="s">
        <v>132</v>
      </c>
      <c r="B120" s="4" t="n">
        <v>45999</v>
      </c>
      <c r="C120" s="1" t="s">
        <v>12</v>
      </c>
      <c r="D120" s="1" t="n">
        <v>19</v>
      </c>
      <c r="E120" s="5" t="n">
        <v>358.18</v>
      </c>
      <c r="F120" s="5" t="n">
        <v>1870.3</v>
      </c>
      <c r="G120" s="1" t="s">
        <v>17</v>
      </c>
    </row>
    <row r="121" customFormat="false" ht="15" hidden="false" customHeight="true" outlineLevel="0" collapsed="false">
      <c r="A121" s="1" t="s">
        <v>133</v>
      </c>
      <c r="B121" s="4" t="n">
        <v>46027</v>
      </c>
      <c r="C121" s="1" t="s">
        <v>16</v>
      </c>
      <c r="D121" s="1" t="n">
        <v>30</v>
      </c>
      <c r="E121" s="5" t="n">
        <v>389.49</v>
      </c>
      <c r="F121" s="5" t="n">
        <v>0</v>
      </c>
      <c r="G121" s="1" t="s">
        <v>10</v>
      </c>
    </row>
    <row r="122" customFormat="false" ht="15" hidden="false" customHeight="true" outlineLevel="0" collapsed="false">
      <c r="A122" s="1" t="s">
        <v>134</v>
      </c>
      <c r="B122" s="4" t="n">
        <v>45915</v>
      </c>
      <c r="C122" s="1" t="s">
        <v>40</v>
      </c>
      <c r="D122" s="1" t="n">
        <v>33</v>
      </c>
      <c r="E122" s="5" t="n">
        <v>113.63</v>
      </c>
      <c r="F122" s="5" t="n">
        <v>894.28</v>
      </c>
      <c r="G122" s="1" t="s">
        <v>30</v>
      </c>
    </row>
    <row r="123" customFormat="false" ht="15" hidden="false" customHeight="true" outlineLevel="0" collapsed="false">
      <c r="B123" s="4" t="n">
        <v>45991</v>
      </c>
      <c r="C123" s="1" t="s">
        <v>12</v>
      </c>
      <c r="D123" s="1" t="n">
        <v>10</v>
      </c>
      <c r="E123" s="5" t="n">
        <v>212.07</v>
      </c>
      <c r="F123" s="5" t="n">
        <v>2852.68</v>
      </c>
      <c r="G123" s="1" t="s">
        <v>13</v>
      </c>
    </row>
    <row r="124" customFormat="false" ht="15" hidden="false" customHeight="true" outlineLevel="0" collapsed="false">
      <c r="A124" s="1" t="s">
        <v>135</v>
      </c>
      <c r="B124" s="4" t="n">
        <v>45660</v>
      </c>
      <c r="C124" s="1" t="s">
        <v>12</v>
      </c>
      <c r="D124" s="1" t="n">
        <v>40</v>
      </c>
      <c r="E124" s="5" t="n">
        <v>267.41</v>
      </c>
      <c r="F124" s="5" t="n">
        <v>0</v>
      </c>
      <c r="G124" s="1" t="s">
        <v>10</v>
      </c>
    </row>
    <row r="125" customFormat="false" ht="15" hidden="false" customHeight="true" outlineLevel="0" collapsed="false">
      <c r="A125" s="1" t="s">
        <v>136</v>
      </c>
      <c r="B125" s="4" t="n">
        <v>45910</v>
      </c>
      <c r="C125" s="1" t="s">
        <v>12</v>
      </c>
      <c r="D125" s="1" t="n">
        <v>62</v>
      </c>
      <c r="E125" s="5" t="n">
        <v>241.36</v>
      </c>
      <c r="F125" s="5" t="n">
        <v>2332.43</v>
      </c>
      <c r="G125" s="1" t="s">
        <v>17</v>
      </c>
    </row>
    <row r="126" customFormat="false" ht="15" hidden="false" customHeight="true" outlineLevel="0" collapsed="false">
      <c r="A126" s="1" t="s">
        <v>137</v>
      </c>
      <c r="B126" s="4" t="n">
        <v>46036</v>
      </c>
      <c r="C126" s="1" t="s">
        <v>9</v>
      </c>
      <c r="D126" s="1" t="n">
        <v>68</v>
      </c>
      <c r="E126" s="5" t="n">
        <v>444.17</v>
      </c>
      <c r="F126" s="5" t="n">
        <v>0</v>
      </c>
      <c r="G126" s="1" t="s">
        <v>138</v>
      </c>
    </row>
    <row r="127" customFormat="false" ht="15" hidden="false" customHeight="true" outlineLevel="0" collapsed="false">
      <c r="A127" s="1" t="s">
        <v>139</v>
      </c>
      <c r="B127" s="4" t="n">
        <v>46130</v>
      </c>
      <c r="C127" s="1" t="s">
        <v>16</v>
      </c>
      <c r="D127" s="1" t="n">
        <v>77</v>
      </c>
      <c r="E127" s="5" t="n">
        <v>512.71</v>
      </c>
      <c r="F127" s="5" t="n">
        <v>2989.64</v>
      </c>
      <c r="G127" s="1" t="s">
        <v>30</v>
      </c>
    </row>
    <row r="128" customFormat="false" ht="15" hidden="false" customHeight="true" outlineLevel="0" collapsed="false">
      <c r="A128" s="1" t="s">
        <v>140</v>
      </c>
      <c r="B128" s="4" t="n">
        <v>45789</v>
      </c>
      <c r="C128" s="1" t="s">
        <v>40</v>
      </c>
      <c r="D128" s="1" t="n">
        <v>19</v>
      </c>
      <c r="E128" s="5" t="n">
        <v>90.91</v>
      </c>
      <c r="F128" s="5" t="n">
        <v>849.98</v>
      </c>
    </row>
    <row r="129" customFormat="false" ht="15" hidden="false" customHeight="true" outlineLevel="0" collapsed="false">
      <c r="A129" s="1" t="s">
        <v>141</v>
      </c>
      <c r="B129" s="4" t="n">
        <v>45997</v>
      </c>
      <c r="C129" s="1" t="s">
        <v>16</v>
      </c>
      <c r="D129" s="1" t="n">
        <v>34</v>
      </c>
      <c r="E129" s="5" t="n">
        <v>567.03</v>
      </c>
      <c r="F129" s="5" t="n">
        <v>0</v>
      </c>
      <c r="G129" s="1" t="s">
        <v>10</v>
      </c>
    </row>
    <row r="130" customFormat="false" ht="15" hidden="false" customHeight="true" outlineLevel="0" collapsed="false">
      <c r="A130" s="1" t="s">
        <v>142</v>
      </c>
      <c r="B130" s="4" t="n">
        <v>46162</v>
      </c>
      <c r="C130" s="1" t="s">
        <v>16</v>
      </c>
      <c r="D130" s="1" t="n">
        <v>24</v>
      </c>
      <c r="E130" s="5" t="n">
        <v>485.29</v>
      </c>
      <c r="F130" s="5"/>
      <c r="G130" s="1" t="s">
        <v>17</v>
      </c>
    </row>
    <row r="131" customFormat="false" ht="15" hidden="false" customHeight="true" outlineLevel="0" collapsed="false">
      <c r="A131" s="1" t="s">
        <v>143</v>
      </c>
      <c r="B131" s="4" t="n">
        <v>45696</v>
      </c>
      <c r="C131" s="1" t="s">
        <v>16</v>
      </c>
      <c r="D131" s="1" t="n">
        <v>37</v>
      </c>
      <c r="E131" s="5" t="n">
        <v>378.53</v>
      </c>
      <c r="F131" s="5" t="n">
        <v>0</v>
      </c>
    </row>
    <row r="132" customFormat="false" ht="15" hidden="false" customHeight="true" outlineLevel="0" collapsed="false">
      <c r="A132" s="1" t="s">
        <v>144</v>
      </c>
      <c r="B132" s="4"/>
      <c r="C132" s="1" t="s">
        <v>12</v>
      </c>
      <c r="D132" s="1" t="n">
        <v>53</v>
      </c>
      <c r="E132" s="5" t="n">
        <v>258.06</v>
      </c>
      <c r="F132" s="5" t="n">
        <v>0</v>
      </c>
      <c r="G132" s="1" t="s">
        <v>105</v>
      </c>
    </row>
    <row r="133" customFormat="false" ht="15" hidden="false" customHeight="true" outlineLevel="0" collapsed="false">
      <c r="A133" s="1" t="s">
        <v>145</v>
      </c>
      <c r="B133" s="4" t="n">
        <v>45966</v>
      </c>
      <c r="C133" s="1" t="s">
        <v>40</v>
      </c>
      <c r="D133" s="1" t="n">
        <v>25</v>
      </c>
      <c r="E133" s="5" t="n">
        <v>104.91</v>
      </c>
      <c r="F133" s="5" t="n">
        <v>0</v>
      </c>
      <c r="G133" s="1" t="s">
        <v>10</v>
      </c>
    </row>
    <row r="134" customFormat="false" ht="15" hidden="false" customHeight="true" outlineLevel="0" collapsed="false">
      <c r="A134" s="1" t="s">
        <v>146</v>
      </c>
      <c r="B134" s="4" t="n">
        <v>45896</v>
      </c>
      <c r="C134" s="1" t="s">
        <v>16</v>
      </c>
      <c r="D134" s="1" t="n">
        <v>50</v>
      </c>
      <c r="E134" s="5" t="n">
        <v>451.65</v>
      </c>
      <c r="F134" s="5" t="n">
        <v>0</v>
      </c>
      <c r="G134" s="1" t="s">
        <v>10</v>
      </c>
    </row>
    <row r="135" customFormat="false" ht="15" hidden="false" customHeight="true" outlineLevel="0" collapsed="false">
      <c r="A135" s="1" t="s">
        <v>147</v>
      </c>
      <c r="B135" s="4" t="n">
        <v>46002</v>
      </c>
      <c r="C135" s="1" t="s">
        <v>16</v>
      </c>
      <c r="D135" s="1" t="n">
        <v>39</v>
      </c>
      <c r="E135" s="5" t="n">
        <v>368.65</v>
      </c>
      <c r="F135" s="5" t="n">
        <v>0</v>
      </c>
      <c r="G135" s="1" t="s">
        <v>10</v>
      </c>
    </row>
    <row r="136" customFormat="false" ht="15" hidden="false" customHeight="true" outlineLevel="0" collapsed="false">
      <c r="A136" s="1" t="s">
        <v>148</v>
      </c>
      <c r="B136" s="4" t="n">
        <v>46011</v>
      </c>
      <c r="D136" s="1" t="n">
        <v>79</v>
      </c>
      <c r="E136" s="5" t="n">
        <v>513.86</v>
      </c>
      <c r="F136" s="5" t="n">
        <v>0</v>
      </c>
      <c r="G136" s="1" t="s">
        <v>10</v>
      </c>
    </row>
    <row r="137" customFormat="false" ht="15" hidden="false" customHeight="true" outlineLevel="0" collapsed="false">
      <c r="A137" s="1" t="s">
        <v>149</v>
      </c>
      <c r="B137" s="4" t="n">
        <v>45910</v>
      </c>
      <c r="C137" s="1" t="s">
        <v>12</v>
      </c>
      <c r="D137" s="1" t="n">
        <v>18</v>
      </c>
      <c r="E137" s="5" t="n">
        <v>331.71</v>
      </c>
      <c r="F137" s="5" t="n">
        <v>448.98</v>
      </c>
      <c r="G137" s="1" t="s">
        <v>17</v>
      </c>
    </row>
    <row r="138" customFormat="false" ht="15" hidden="false" customHeight="true" outlineLevel="0" collapsed="false">
      <c r="B138" s="4" t="n">
        <v>46227</v>
      </c>
      <c r="C138" s="1" t="s">
        <v>40</v>
      </c>
      <c r="D138" s="1" t="n">
        <v>50</v>
      </c>
      <c r="E138" s="5" t="n">
        <v>90.91</v>
      </c>
      <c r="F138" s="5" t="n">
        <v>882.66</v>
      </c>
      <c r="G138" s="1" t="s">
        <v>13</v>
      </c>
    </row>
    <row r="139" customFormat="false" ht="15" hidden="false" customHeight="true" outlineLevel="0" collapsed="false">
      <c r="A139" s="1" t="s">
        <v>150</v>
      </c>
      <c r="B139" s="4" t="n">
        <v>46193</v>
      </c>
      <c r="C139" s="1" t="s">
        <v>12</v>
      </c>
      <c r="D139" s="1" t="n">
        <v>23</v>
      </c>
      <c r="E139" s="5" t="n">
        <v>268.37</v>
      </c>
      <c r="F139" s="5" t="n">
        <v>1512.17</v>
      </c>
      <c r="G139" s="1" t="s">
        <v>30</v>
      </c>
    </row>
    <row r="140" customFormat="false" ht="15" hidden="false" customHeight="true" outlineLevel="0" collapsed="false">
      <c r="A140" s="1" t="s">
        <v>151</v>
      </c>
      <c r="B140" s="4" t="n">
        <v>46118</v>
      </c>
      <c r="C140" s="1" t="s">
        <v>19</v>
      </c>
      <c r="D140" s="1" t="n">
        <v>18</v>
      </c>
      <c r="E140" s="5"/>
      <c r="F140" s="5" t="n">
        <v>542.7</v>
      </c>
      <c r="G140" s="1" t="s">
        <v>13</v>
      </c>
    </row>
    <row r="141" customFormat="false" ht="15" hidden="false" customHeight="true" outlineLevel="0" collapsed="false">
      <c r="A141" s="1" t="s">
        <v>152</v>
      </c>
      <c r="B141" s="4" t="n">
        <v>46107</v>
      </c>
      <c r="C141" s="1" t="s">
        <v>16</v>
      </c>
      <c r="D141" s="1" t="n">
        <v>64</v>
      </c>
      <c r="E141" s="5" t="n">
        <v>378.39</v>
      </c>
      <c r="F141" s="5" t="n">
        <v>0</v>
      </c>
      <c r="G141" s="1" t="s">
        <v>10</v>
      </c>
    </row>
    <row r="142" customFormat="false" ht="15" hidden="false" customHeight="true" outlineLevel="0" collapsed="false">
      <c r="A142" s="1" t="s">
        <v>153</v>
      </c>
      <c r="B142" s="4" t="n">
        <v>46129</v>
      </c>
      <c r="C142" s="1" t="s">
        <v>19</v>
      </c>
      <c r="D142" s="1" t="n">
        <v>40</v>
      </c>
      <c r="E142" s="5"/>
      <c r="F142" s="5" t="n">
        <v>0</v>
      </c>
      <c r="G142" s="1" t="s">
        <v>10</v>
      </c>
    </row>
    <row r="143" customFormat="false" ht="15" hidden="false" customHeight="true" outlineLevel="0" collapsed="false">
      <c r="A143" s="1" t="s">
        <v>154</v>
      </c>
      <c r="B143" s="4" t="n">
        <v>45931</v>
      </c>
      <c r="C143" s="1" t="s">
        <v>12</v>
      </c>
      <c r="D143" s="1" t="n">
        <v>52</v>
      </c>
      <c r="E143" s="5" t="n">
        <v>294.49</v>
      </c>
      <c r="F143" s="5" t="n">
        <v>0</v>
      </c>
      <c r="G143" s="1" t="s">
        <v>10</v>
      </c>
    </row>
    <row r="144" customFormat="false" ht="15" hidden="false" customHeight="true" outlineLevel="0" collapsed="false">
      <c r="A144" s="1" t="s">
        <v>155</v>
      </c>
      <c r="B144" s="4" t="n">
        <v>45945</v>
      </c>
      <c r="C144" s="1" t="s">
        <v>9</v>
      </c>
      <c r="D144" s="1" t="n">
        <v>20</v>
      </c>
      <c r="E144" s="5" t="n">
        <v>395.82</v>
      </c>
      <c r="F144" s="5" t="n">
        <v>0</v>
      </c>
      <c r="G144" s="1" t="s">
        <v>10</v>
      </c>
    </row>
    <row r="145" customFormat="false" ht="15" hidden="false" customHeight="true" outlineLevel="0" collapsed="false">
      <c r="A145" s="1" t="s">
        <v>156</v>
      </c>
      <c r="B145" s="4" t="n">
        <v>45943</v>
      </c>
      <c r="C145" s="1" t="s">
        <v>16</v>
      </c>
      <c r="D145" s="1" t="n">
        <v>53</v>
      </c>
      <c r="E145" s="5" t="n">
        <v>381.1</v>
      </c>
      <c r="F145" s="5" t="n">
        <v>1006.99</v>
      </c>
      <c r="G145" s="1" t="s">
        <v>17</v>
      </c>
    </row>
    <row r="146" customFormat="false" ht="15" hidden="false" customHeight="true" outlineLevel="0" collapsed="false">
      <c r="A146" s="1" t="s">
        <v>157</v>
      </c>
      <c r="B146" s="4" t="n">
        <v>46037</v>
      </c>
      <c r="C146" s="1" t="s">
        <v>9</v>
      </c>
      <c r="D146" s="1" t="n">
        <v>41</v>
      </c>
      <c r="E146" s="5" t="n">
        <v>374.09</v>
      </c>
      <c r="F146" s="5" t="n">
        <v>0</v>
      </c>
      <c r="G146" s="1" t="s">
        <v>10</v>
      </c>
    </row>
    <row r="147" customFormat="false" ht="15" hidden="false" customHeight="true" outlineLevel="0" collapsed="false">
      <c r="A147" s="1" t="s">
        <v>158</v>
      </c>
      <c r="B147" s="4" t="n">
        <v>45687</v>
      </c>
      <c r="C147" s="1" t="s">
        <v>19</v>
      </c>
      <c r="D147" s="1" t="n">
        <v>77</v>
      </c>
      <c r="E147" s="5" t="n">
        <v>287.27</v>
      </c>
      <c r="F147" s="5" t="n">
        <v>1715.65</v>
      </c>
    </row>
    <row r="148" customFormat="false" ht="15" hidden="false" customHeight="true" outlineLevel="0" collapsed="false">
      <c r="A148" s="1" t="s">
        <v>159</v>
      </c>
      <c r="B148" s="4" t="n">
        <v>45993</v>
      </c>
      <c r="C148" s="1" t="s">
        <v>9</v>
      </c>
      <c r="D148" s="1" t="n">
        <v>47</v>
      </c>
      <c r="E148" s="5" t="n">
        <v>453.38</v>
      </c>
      <c r="F148" s="5" t="n">
        <v>0</v>
      </c>
      <c r="G148" s="1" t="s">
        <v>10</v>
      </c>
    </row>
    <row r="149" customFormat="false" ht="15" hidden="false" customHeight="true" outlineLevel="0" collapsed="false">
      <c r="A149" s="1" t="s">
        <v>160</v>
      </c>
      <c r="B149" s="4" t="n">
        <v>45751</v>
      </c>
      <c r="C149" s="1" t="s">
        <v>40</v>
      </c>
      <c r="D149" s="1" t="n">
        <v>59</v>
      </c>
      <c r="E149" s="5" t="n">
        <v>97.75</v>
      </c>
      <c r="F149" s="5" t="n">
        <v>669.29</v>
      </c>
      <c r="G149" s="1" t="s">
        <v>30</v>
      </c>
    </row>
    <row r="150" customFormat="false" ht="15" hidden="false" customHeight="true" outlineLevel="0" collapsed="false">
      <c r="A150" s="1" t="s">
        <v>161</v>
      </c>
      <c r="B150" s="4" t="n">
        <v>46226</v>
      </c>
      <c r="C150" s="1" t="s">
        <v>9</v>
      </c>
      <c r="D150" s="1" t="n">
        <v>39</v>
      </c>
      <c r="E150" s="5" t="n">
        <v>463.51</v>
      </c>
      <c r="F150" s="5" t="n">
        <v>0</v>
      </c>
      <c r="G150" s="1" t="s">
        <v>10</v>
      </c>
    </row>
    <row r="151" customFormat="false" ht="15" hidden="false" customHeight="true" outlineLevel="0" collapsed="false">
      <c r="A151" s="1" t="s">
        <v>162</v>
      </c>
      <c r="B151" s="4" t="n">
        <v>46119</v>
      </c>
      <c r="D151" s="1" t="n">
        <v>48</v>
      </c>
      <c r="E151" s="5" t="n">
        <v>501.49</v>
      </c>
      <c r="F151" s="5" t="n">
        <v>1552.21</v>
      </c>
      <c r="G151" s="1" t="s">
        <v>17</v>
      </c>
    </row>
    <row r="152" customFormat="false" ht="15" hidden="false" customHeight="true" outlineLevel="0" collapsed="false">
      <c r="A152" s="1" t="s">
        <v>163</v>
      </c>
      <c r="B152" s="4" t="n">
        <v>45910</v>
      </c>
      <c r="C152" s="1" t="s">
        <v>19</v>
      </c>
      <c r="D152" s="1" t="n">
        <v>28</v>
      </c>
      <c r="E152" s="5" t="n">
        <v>309.01</v>
      </c>
      <c r="F152" s="5" t="n">
        <v>0</v>
      </c>
      <c r="G152" s="1" t="s">
        <v>10</v>
      </c>
    </row>
    <row r="153" customFormat="false" ht="15" hidden="false" customHeight="true" outlineLevel="0" collapsed="false">
      <c r="A153" s="1" t="s">
        <v>164</v>
      </c>
      <c r="B153" s="4" t="n">
        <v>45841</v>
      </c>
      <c r="C153" s="1" t="s">
        <v>40</v>
      </c>
      <c r="D153" s="1" t="n">
        <v>58</v>
      </c>
      <c r="E153" s="5" t="n">
        <v>98.24</v>
      </c>
      <c r="F153" s="5" t="n">
        <v>675.1</v>
      </c>
      <c r="G153" s="1" t="s">
        <v>30</v>
      </c>
    </row>
    <row r="154" customFormat="false" ht="15" hidden="false" customHeight="true" outlineLevel="0" collapsed="false">
      <c r="A154" s="1" t="s">
        <v>165</v>
      </c>
      <c r="B154" s="4" t="n">
        <v>45962</v>
      </c>
      <c r="C154" s="1" t="s">
        <v>16</v>
      </c>
      <c r="D154" s="1" t="n">
        <v>41</v>
      </c>
      <c r="E154" s="5" t="n">
        <v>418.22</v>
      </c>
      <c r="F154" s="5" t="n">
        <v>1790.48</v>
      </c>
      <c r="G154" s="1" t="s">
        <v>17</v>
      </c>
    </row>
    <row r="155" customFormat="false" ht="15" hidden="false" customHeight="true" outlineLevel="0" collapsed="false">
      <c r="A155" s="1" t="s">
        <v>166</v>
      </c>
      <c r="B155" s="4" t="n">
        <v>45957</v>
      </c>
      <c r="C155" s="1" t="s">
        <v>12</v>
      </c>
      <c r="D155" s="1" t="n">
        <v>34</v>
      </c>
      <c r="E155" s="5" t="n">
        <v>349.84</v>
      </c>
      <c r="F155" s="5"/>
      <c r="G155" s="1" t="s">
        <v>13</v>
      </c>
    </row>
    <row r="156" customFormat="false" ht="15" hidden="false" customHeight="true" outlineLevel="0" collapsed="false">
      <c r="A156" s="1" t="s">
        <v>167</v>
      </c>
      <c r="B156" s="4" t="n">
        <v>45770</v>
      </c>
      <c r="C156" s="1" t="s">
        <v>9</v>
      </c>
      <c r="D156" s="1" t="n">
        <v>18</v>
      </c>
      <c r="E156" s="5" t="n">
        <v>387.77</v>
      </c>
      <c r="F156" s="5" t="n">
        <v>3835.86</v>
      </c>
      <c r="G156" s="1" t="s">
        <v>17</v>
      </c>
    </row>
    <row r="157" customFormat="false" ht="15" hidden="false" customHeight="true" outlineLevel="0" collapsed="false">
      <c r="A157" s="1" t="s">
        <v>168</v>
      </c>
      <c r="B157" s="4" t="n">
        <v>45661</v>
      </c>
      <c r="C157" s="1" t="s">
        <v>19</v>
      </c>
      <c r="D157" s="1" t="n">
        <v>24</v>
      </c>
      <c r="E157" s="5" t="n">
        <v>295.65</v>
      </c>
      <c r="F157" s="5" t="n">
        <v>0</v>
      </c>
      <c r="G157" s="1" t="s">
        <v>10</v>
      </c>
    </row>
    <row r="158" customFormat="false" ht="15" hidden="false" customHeight="true" outlineLevel="0" collapsed="false">
      <c r="A158" s="1" t="s">
        <v>169</v>
      </c>
      <c r="B158" s="4"/>
      <c r="C158" s="1" t="s">
        <v>40</v>
      </c>
      <c r="D158" s="1" t="n">
        <v>78</v>
      </c>
      <c r="E158" s="5" t="n">
        <v>119.44</v>
      </c>
      <c r="F158" s="5" t="n">
        <v>1032.98</v>
      </c>
      <c r="G158" s="1" t="s">
        <v>17</v>
      </c>
    </row>
    <row r="159" customFormat="false" ht="15" hidden="false" customHeight="true" outlineLevel="0" collapsed="false">
      <c r="A159" s="1" t="s">
        <v>170</v>
      </c>
      <c r="B159" s="4" t="n">
        <v>45889</v>
      </c>
      <c r="C159" s="1" t="s">
        <v>19</v>
      </c>
      <c r="D159" s="1" t="n">
        <v>79</v>
      </c>
      <c r="E159" s="5" t="n">
        <v>301.41</v>
      </c>
      <c r="F159" s="5" t="n">
        <v>0</v>
      </c>
      <c r="G159" s="1" t="s">
        <v>10</v>
      </c>
    </row>
    <row r="160" customFormat="false" ht="15" hidden="false" customHeight="true" outlineLevel="0" collapsed="false">
      <c r="A160" s="1" t="s">
        <v>171</v>
      </c>
      <c r="B160" s="4" t="n">
        <v>45698</v>
      </c>
      <c r="C160" s="1" t="s">
        <v>16</v>
      </c>
      <c r="D160" s="1" t="n">
        <v>29</v>
      </c>
      <c r="E160" s="5" t="n">
        <v>440.94</v>
      </c>
      <c r="F160" s="5" t="n">
        <v>4841.11</v>
      </c>
      <c r="G160" s="1" t="s">
        <v>17</v>
      </c>
    </row>
    <row r="161" customFormat="false" ht="15" hidden="false" customHeight="true" outlineLevel="0" collapsed="false">
      <c r="A161" s="1" t="s">
        <v>172</v>
      </c>
      <c r="B161" s="4" t="n">
        <v>45984</v>
      </c>
      <c r="C161" s="1" t="s">
        <v>12</v>
      </c>
      <c r="D161" s="1" t="n">
        <v>45</v>
      </c>
      <c r="E161" s="5" t="n">
        <v>360.25</v>
      </c>
      <c r="F161" s="5" t="n">
        <v>2486.61</v>
      </c>
      <c r="G161" s="1" t="s">
        <v>13</v>
      </c>
    </row>
    <row r="162" customFormat="false" ht="15" hidden="false" customHeight="true" outlineLevel="0" collapsed="false">
      <c r="A162" s="1" t="s">
        <v>173</v>
      </c>
      <c r="B162" s="4" t="n">
        <v>45998</v>
      </c>
      <c r="C162" s="1" t="s">
        <v>12</v>
      </c>
      <c r="D162" s="1" t="n">
        <v>59</v>
      </c>
      <c r="E162" s="5" t="n">
        <v>327.44</v>
      </c>
      <c r="F162" s="5" t="n">
        <v>0</v>
      </c>
      <c r="G162" s="1" t="s">
        <v>10</v>
      </c>
    </row>
    <row r="163" customFormat="false" ht="15" hidden="false" customHeight="true" outlineLevel="0" collapsed="false">
      <c r="A163" s="1" t="s">
        <v>174</v>
      </c>
      <c r="B163" s="4" t="n">
        <v>45738</v>
      </c>
      <c r="D163" s="1" t="n">
        <v>32</v>
      </c>
      <c r="E163" s="5" t="n">
        <v>403.35</v>
      </c>
      <c r="F163" s="5" t="n">
        <v>2599.36</v>
      </c>
      <c r="G163" s="1" t="s">
        <v>30</v>
      </c>
    </row>
    <row r="164" customFormat="false" ht="15" hidden="false" customHeight="true" outlineLevel="0" collapsed="false">
      <c r="A164" s="1" t="s">
        <v>175</v>
      </c>
      <c r="B164" s="4" t="n">
        <v>45718</v>
      </c>
      <c r="C164" s="1" t="s">
        <v>12</v>
      </c>
      <c r="D164" s="1" t="n">
        <v>44</v>
      </c>
      <c r="E164" s="5" t="n">
        <v>340.69</v>
      </c>
      <c r="F164" s="5" t="n">
        <v>0</v>
      </c>
      <c r="G164" s="1" t="s">
        <v>10</v>
      </c>
    </row>
    <row r="165" customFormat="false" ht="15" hidden="false" customHeight="true" outlineLevel="0" collapsed="false">
      <c r="A165" s="1" t="s">
        <v>176</v>
      </c>
      <c r="B165" s="4" t="n">
        <v>45853</v>
      </c>
      <c r="C165" s="1" t="s">
        <v>12</v>
      </c>
      <c r="D165" s="1" t="n">
        <v>78</v>
      </c>
      <c r="E165" s="5" t="n">
        <v>255.77</v>
      </c>
      <c r="F165" s="5" t="n">
        <v>1447.69</v>
      </c>
      <c r="G165" s="1" t="s">
        <v>13</v>
      </c>
    </row>
    <row r="166" customFormat="false" ht="15" hidden="false" customHeight="true" outlineLevel="0" collapsed="false">
      <c r="A166" s="1" t="s">
        <v>177</v>
      </c>
      <c r="B166" s="4" t="n">
        <v>45924</v>
      </c>
      <c r="C166" s="1" t="s">
        <v>19</v>
      </c>
      <c r="E166" s="5" t="n">
        <v>387.42</v>
      </c>
      <c r="F166" s="5" t="n">
        <v>748.91</v>
      </c>
      <c r="G166" s="1" t="s">
        <v>30</v>
      </c>
    </row>
    <row r="167" customFormat="false" ht="15" hidden="false" customHeight="true" outlineLevel="0" collapsed="false">
      <c r="A167" s="1" t="s">
        <v>98</v>
      </c>
      <c r="B167" s="4" t="n">
        <v>46157</v>
      </c>
      <c r="C167" s="1" t="s">
        <v>19</v>
      </c>
      <c r="D167" s="1" t="n">
        <v>40</v>
      </c>
      <c r="E167" s="5" t="n">
        <v>273.89</v>
      </c>
      <c r="F167" s="5" t="n">
        <v>0</v>
      </c>
      <c r="G167" s="1" t="s">
        <v>10</v>
      </c>
    </row>
    <row r="168" customFormat="false" ht="15" hidden="false" customHeight="true" outlineLevel="0" collapsed="false">
      <c r="A168" s="1" t="s">
        <v>178</v>
      </c>
      <c r="B168" s="4" t="n">
        <v>46113</v>
      </c>
      <c r="C168" s="1" t="s">
        <v>12</v>
      </c>
      <c r="D168" s="1" t="n">
        <v>75</v>
      </c>
      <c r="E168" s="5" t="n">
        <v>284.74</v>
      </c>
      <c r="F168" s="5" t="n">
        <v>0</v>
      </c>
      <c r="G168" s="1" t="s">
        <v>10</v>
      </c>
    </row>
    <row r="169" customFormat="false" ht="15" hidden="false" customHeight="true" outlineLevel="0" collapsed="false">
      <c r="A169" s="1" t="s">
        <v>179</v>
      </c>
      <c r="B169" s="4" t="n">
        <v>46193</v>
      </c>
      <c r="C169" s="1" t="s">
        <v>19</v>
      </c>
      <c r="E169" s="5" t="n">
        <v>443.15</v>
      </c>
      <c r="F169" s="5" t="n">
        <v>0</v>
      </c>
      <c r="G169" s="1" t="s">
        <v>10</v>
      </c>
    </row>
    <row r="170" customFormat="false" ht="15" hidden="false" customHeight="true" outlineLevel="0" collapsed="false">
      <c r="A170" s="1" t="s">
        <v>180</v>
      </c>
      <c r="B170" s="4" t="n">
        <v>45841</v>
      </c>
      <c r="C170" s="1" t="s">
        <v>19</v>
      </c>
      <c r="D170" s="1" t="n">
        <v>71</v>
      </c>
      <c r="E170" s="5" t="n">
        <v>264.81</v>
      </c>
      <c r="F170" s="5" t="n">
        <v>420.7</v>
      </c>
      <c r="G170" s="1" t="s">
        <v>17</v>
      </c>
    </row>
    <row r="171" customFormat="false" ht="15" hidden="false" customHeight="true" outlineLevel="0" collapsed="false">
      <c r="B171" s="4" t="n">
        <v>45984</v>
      </c>
      <c r="C171" s="1" t="s">
        <v>40</v>
      </c>
      <c r="D171" s="1" t="n">
        <v>62</v>
      </c>
      <c r="E171" s="5" t="n">
        <v>83.04</v>
      </c>
      <c r="F171" s="5" t="n">
        <v>875.36</v>
      </c>
      <c r="G171" s="1" t="s">
        <v>17</v>
      </c>
    </row>
    <row r="172" customFormat="false" ht="15" hidden="false" customHeight="true" outlineLevel="0" collapsed="false">
      <c r="A172" s="1" t="s">
        <v>181</v>
      </c>
      <c r="B172" s="4" t="n">
        <v>46141</v>
      </c>
      <c r="C172" s="1" t="s">
        <v>19</v>
      </c>
      <c r="D172" s="1" t="n">
        <v>60</v>
      </c>
      <c r="E172" s="5" t="n">
        <v>292.08</v>
      </c>
      <c r="F172" s="5" t="n">
        <v>0</v>
      </c>
      <c r="G172" s="1" t="s">
        <v>10</v>
      </c>
    </row>
    <row r="173" customFormat="false" ht="15" hidden="false" customHeight="true" outlineLevel="0" collapsed="false">
      <c r="A173" s="1" t="s">
        <v>182</v>
      </c>
      <c r="B173" s="4" t="n">
        <v>45820</v>
      </c>
      <c r="C173" s="1" t="s">
        <v>19</v>
      </c>
      <c r="D173" s="1" t="n">
        <v>23</v>
      </c>
      <c r="E173" s="5" t="n">
        <v>327.37</v>
      </c>
      <c r="F173" s="5" t="n">
        <v>2174.35</v>
      </c>
      <c r="G173" s="1" t="s">
        <v>13</v>
      </c>
    </row>
    <row r="174" customFormat="false" ht="15" hidden="false" customHeight="true" outlineLevel="0" collapsed="false">
      <c r="A174" s="1" t="s">
        <v>183</v>
      </c>
      <c r="B174" s="4" t="n">
        <v>45874</v>
      </c>
      <c r="C174" s="1" t="s">
        <v>16</v>
      </c>
      <c r="D174" s="1" t="n">
        <v>40</v>
      </c>
      <c r="E174" s="5" t="n">
        <v>336.95</v>
      </c>
      <c r="F174" s="5" t="n">
        <v>0</v>
      </c>
      <c r="G174" s="1" t="s">
        <v>10</v>
      </c>
    </row>
    <row r="175" customFormat="false" ht="15" hidden="false" customHeight="true" outlineLevel="0" collapsed="false">
      <c r="A175" s="1" t="s">
        <v>184</v>
      </c>
      <c r="B175" s="4"/>
      <c r="C175" s="1" t="s">
        <v>19</v>
      </c>
      <c r="D175" s="1" t="n">
        <v>22</v>
      </c>
      <c r="E175" s="5" t="n">
        <v>382.99</v>
      </c>
      <c r="F175" s="5" t="n">
        <v>0</v>
      </c>
      <c r="G175" s="1" t="s">
        <v>10</v>
      </c>
    </row>
    <row r="176" customFormat="false" ht="15" hidden="false" customHeight="true" outlineLevel="0" collapsed="false">
      <c r="A176" s="1" t="s">
        <v>185</v>
      </c>
      <c r="B176" s="4" t="n">
        <v>45744</v>
      </c>
      <c r="C176" s="1" t="s">
        <v>19</v>
      </c>
      <c r="D176" s="1" t="n">
        <v>26</v>
      </c>
      <c r="E176" s="5"/>
      <c r="F176" s="5" t="n">
        <v>2964.27</v>
      </c>
      <c r="G176" s="1" t="s">
        <v>30</v>
      </c>
    </row>
    <row r="177" customFormat="false" ht="15" hidden="false" customHeight="true" outlineLevel="0" collapsed="false">
      <c r="A177" s="1" t="s">
        <v>186</v>
      </c>
      <c r="B177" s="4" t="n">
        <v>46210</v>
      </c>
      <c r="C177" s="1" t="s">
        <v>9</v>
      </c>
      <c r="D177" s="1" t="n">
        <v>52</v>
      </c>
      <c r="E177" s="5" t="n">
        <v>311.76</v>
      </c>
      <c r="F177" s="5" t="n">
        <v>3597.64</v>
      </c>
      <c r="G177" s="1" t="s">
        <v>30</v>
      </c>
    </row>
    <row r="178" customFormat="false" ht="15" hidden="false" customHeight="true" outlineLevel="0" collapsed="false">
      <c r="A178" s="1" t="s">
        <v>187</v>
      </c>
      <c r="B178" s="4" t="n">
        <v>45983</v>
      </c>
      <c r="D178" s="1" t="n">
        <v>35</v>
      </c>
      <c r="E178" s="5" t="n">
        <v>419</v>
      </c>
      <c r="F178" s="5" t="n">
        <v>1833.43</v>
      </c>
      <c r="G178" s="1" t="s">
        <v>17</v>
      </c>
    </row>
    <row r="179" customFormat="false" ht="15" hidden="false" customHeight="true" outlineLevel="0" collapsed="false">
      <c r="A179" s="1" t="s">
        <v>188</v>
      </c>
      <c r="B179" s="4" t="n">
        <v>45945</v>
      </c>
      <c r="C179" s="1" t="s">
        <v>19</v>
      </c>
      <c r="D179" s="1" t="n">
        <v>76</v>
      </c>
      <c r="E179" s="5" t="n">
        <v>280.19</v>
      </c>
      <c r="F179" s="5" t="s">
        <v>123</v>
      </c>
      <c r="G179" s="1" t="s">
        <v>30</v>
      </c>
    </row>
    <row r="180" customFormat="false" ht="15" hidden="false" customHeight="true" outlineLevel="0" collapsed="false">
      <c r="A180" s="1" t="s">
        <v>189</v>
      </c>
      <c r="B180" s="4" t="n">
        <v>45861</v>
      </c>
      <c r="C180" s="1" t="s">
        <v>16</v>
      </c>
      <c r="D180" s="1" t="n">
        <v>44</v>
      </c>
      <c r="E180" s="5" t="n">
        <v>362.72</v>
      </c>
      <c r="F180" s="5"/>
      <c r="G180" s="1" t="s">
        <v>10</v>
      </c>
    </row>
    <row r="181" customFormat="false" ht="15" hidden="false" customHeight="true" outlineLevel="0" collapsed="false">
      <c r="A181" s="1" t="s">
        <v>190</v>
      </c>
      <c r="B181" s="4" t="n">
        <v>45862</v>
      </c>
      <c r="C181" s="1" t="s">
        <v>12</v>
      </c>
      <c r="E181" s="5" t="n">
        <v>257.37</v>
      </c>
      <c r="F181" s="5" t="n">
        <v>608.33</v>
      </c>
      <c r="G181" s="1" t="s">
        <v>13</v>
      </c>
    </row>
    <row r="182" customFormat="false" ht="15" hidden="false" customHeight="true" outlineLevel="0" collapsed="false">
      <c r="A182" s="1" t="s">
        <v>191</v>
      </c>
      <c r="B182" s="4" t="n">
        <v>45723</v>
      </c>
      <c r="C182" s="1" t="s">
        <v>16</v>
      </c>
      <c r="D182" s="1" t="n">
        <v>43</v>
      </c>
      <c r="E182" s="5" t="n">
        <v>505.54</v>
      </c>
      <c r="F182" s="5" t="n">
        <v>4108.95</v>
      </c>
      <c r="G182" s="1" t="s">
        <v>17</v>
      </c>
    </row>
    <row r="183" customFormat="false" ht="15" hidden="false" customHeight="true" outlineLevel="0" collapsed="false">
      <c r="A183" s="1" t="s">
        <v>192</v>
      </c>
      <c r="B183" s="4" t="n">
        <v>45814</v>
      </c>
      <c r="C183" s="1" t="s">
        <v>19</v>
      </c>
      <c r="D183" s="1" t="n">
        <v>47</v>
      </c>
      <c r="E183" s="5" t="n">
        <v>290.25</v>
      </c>
      <c r="F183" s="5" t="n">
        <v>0</v>
      </c>
      <c r="G183" s="1" t="s">
        <v>10</v>
      </c>
    </row>
    <row r="184" customFormat="false" ht="15" hidden="false" customHeight="true" outlineLevel="0" collapsed="false">
      <c r="A184" s="1" t="s">
        <v>193</v>
      </c>
      <c r="B184" s="4" t="n">
        <v>46178</v>
      </c>
      <c r="C184" s="1" t="s">
        <v>9</v>
      </c>
      <c r="D184" s="1" t="n">
        <v>124</v>
      </c>
      <c r="E184" s="5" t="n">
        <v>516.1</v>
      </c>
      <c r="F184" s="5" t="n">
        <v>3377.55</v>
      </c>
      <c r="G184" s="1" t="s">
        <v>17</v>
      </c>
    </row>
    <row r="185" customFormat="false" ht="15" hidden="false" customHeight="true" outlineLevel="0" collapsed="false">
      <c r="A185" s="1" t="s">
        <v>194</v>
      </c>
      <c r="B185" s="4" t="n">
        <v>46048</v>
      </c>
      <c r="C185" s="1" t="s">
        <v>9</v>
      </c>
      <c r="D185" s="1" t="n">
        <v>66</v>
      </c>
      <c r="E185" s="5" t="n">
        <v>477.41</v>
      </c>
      <c r="F185" s="5" t="n">
        <v>0</v>
      </c>
      <c r="G185" s="1" t="s">
        <v>10</v>
      </c>
    </row>
    <row r="186" customFormat="false" ht="15" hidden="false" customHeight="true" outlineLevel="0" collapsed="false">
      <c r="A186" s="1" t="s">
        <v>195</v>
      </c>
      <c r="B186" s="4" t="n">
        <v>46113</v>
      </c>
      <c r="C186" s="1" t="s">
        <v>12</v>
      </c>
      <c r="D186" s="1" t="n">
        <v>57</v>
      </c>
      <c r="E186" s="5" t="n">
        <v>359.69</v>
      </c>
      <c r="F186" s="5" t="n">
        <v>287.33</v>
      </c>
      <c r="G186" s="1" t="s">
        <v>17</v>
      </c>
    </row>
    <row r="187" customFormat="false" ht="15" hidden="false" customHeight="true" outlineLevel="0" collapsed="false">
      <c r="A187" s="1" t="s">
        <v>196</v>
      </c>
      <c r="B187" s="4" t="n">
        <v>45662</v>
      </c>
      <c r="C187" s="1" t="s">
        <v>9</v>
      </c>
      <c r="D187" s="1" t="n">
        <v>18</v>
      </c>
      <c r="E187" s="5" t="n">
        <v>449.77</v>
      </c>
      <c r="F187" s="5" t="n">
        <v>0</v>
      </c>
      <c r="G187" s="1" t="s">
        <v>10</v>
      </c>
    </row>
    <row r="188" customFormat="false" ht="15" hidden="false" customHeight="true" outlineLevel="0" collapsed="false">
      <c r="A188" s="1" t="s">
        <v>197</v>
      </c>
      <c r="B188" s="4" t="n">
        <v>45964</v>
      </c>
      <c r="C188" s="1" t="s">
        <v>19</v>
      </c>
      <c r="D188" s="1" t="n">
        <v>18</v>
      </c>
      <c r="E188" s="5" t="n">
        <v>389.95</v>
      </c>
      <c r="F188" s="5" t="n">
        <v>1630.84</v>
      </c>
      <c r="G188" s="1" t="s">
        <v>17</v>
      </c>
    </row>
    <row r="189" customFormat="false" ht="15" hidden="false" customHeight="true" outlineLevel="0" collapsed="false">
      <c r="A189" s="1" t="s">
        <v>198</v>
      </c>
      <c r="B189" s="4" t="n">
        <v>45785</v>
      </c>
      <c r="C189" s="1" t="s">
        <v>19</v>
      </c>
      <c r="D189" s="1" t="n">
        <v>22</v>
      </c>
      <c r="E189" s="5"/>
      <c r="F189" s="5" t="n">
        <v>0</v>
      </c>
      <c r="G189" s="1" t="s">
        <v>10</v>
      </c>
    </row>
    <row r="190" customFormat="false" ht="15" hidden="false" customHeight="true" outlineLevel="0" collapsed="false">
      <c r="A190" s="1" t="s">
        <v>199</v>
      </c>
      <c r="B190" s="4" t="n">
        <v>46099</v>
      </c>
      <c r="D190" s="1" t="n">
        <v>56</v>
      </c>
      <c r="E190" s="5" t="n">
        <v>482.25</v>
      </c>
      <c r="F190" s="5" t="n">
        <v>1504.8</v>
      </c>
      <c r="G190" s="1" t="s">
        <v>13</v>
      </c>
    </row>
    <row r="191" customFormat="false" ht="15" hidden="false" customHeight="true" outlineLevel="0" collapsed="false">
      <c r="A191" s="1" t="s">
        <v>200</v>
      </c>
      <c r="B191" s="4" t="n">
        <v>45806</v>
      </c>
      <c r="D191" s="1" t="n">
        <v>59</v>
      </c>
      <c r="E191" s="5" t="n">
        <v>250.19</v>
      </c>
      <c r="F191" s="5" t="n">
        <v>0</v>
      </c>
      <c r="G191" s="1" t="s">
        <v>10</v>
      </c>
    </row>
    <row r="192" customFormat="false" ht="15" hidden="false" customHeight="true" outlineLevel="0" collapsed="false">
      <c r="A192" s="1" t="s">
        <v>201</v>
      </c>
      <c r="B192" s="4" t="n">
        <v>46184</v>
      </c>
      <c r="C192" s="1" t="s">
        <v>12</v>
      </c>
      <c r="D192" s="1" t="n">
        <v>58</v>
      </c>
      <c r="E192" s="5" t="n">
        <v>362.9</v>
      </c>
      <c r="F192" s="5"/>
      <c r="G192" s="1" t="s">
        <v>30</v>
      </c>
    </row>
    <row r="193" customFormat="false" ht="15" hidden="false" customHeight="true" outlineLevel="0" collapsed="false">
      <c r="A193" s="1" t="s">
        <v>202</v>
      </c>
      <c r="B193" s="4" t="n">
        <v>46145</v>
      </c>
      <c r="C193" s="1" t="s">
        <v>19</v>
      </c>
      <c r="D193" s="1" t="n">
        <v>44</v>
      </c>
      <c r="E193" s="5" t="n">
        <v>335.29</v>
      </c>
      <c r="F193" s="5" t="n">
        <v>0</v>
      </c>
      <c r="G193" s="1" t="s">
        <v>10</v>
      </c>
    </row>
    <row r="194" customFormat="false" ht="15" hidden="false" customHeight="true" outlineLevel="0" collapsed="false">
      <c r="A194" s="1" t="s">
        <v>203</v>
      </c>
      <c r="B194" s="4" t="n">
        <v>45688</v>
      </c>
      <c r="C194" s="1" t="s">
        <v>40</v>
      </c>
      <c r="D194" s="1" t="n">
        <v>30</v>
      </c>
      <c r="E194" s="5" t="n">
        <v>101.66</v>
      </c>
      <c r="F194" s="5" t="n">
        <v>0</v>
      </c>
      <c r="G194" s="1" t="s">
        <v>10</v>
      </c>
    </row>
    <row r="195" customFormat="false" ht="15" hidden="false" customHeight="true" outlineLevel="0" collapsed="false">
      <c r="A195" s="1" t="s">
        <v>204</v>
      </c>
      <c r="B195" s="4" t="n">
        <v>46081</v>
      </c>
      <c r="C195" s="1" t="s">
        <v>12</v>
      </c>
      <c r="D195" s="1" t="n">
        <v>79</v>
      </c>
      <c r="E195" s="5" t="n">
        <v>324.16</v>
      </c>
      <c r="F195" s="5" t="n">
        <v>597.52</v>
      </c>
      <c r="G195" s="1" t="s">
        <v>13</v>
      </c>
    </row>
    <row r="196" customFormat="false" ht="15" hidden="false" customHeight="true" outlineLevel="0" collapsed="false">
      <c r="B196" s="4" t="n">
        <v>46113</v>
      </c>
      <c r="C196" s="1" t="s">
        <v>19</v>
      </c>
      <c r="D196" s="1" t="n">
        <v>23</v>
      </c>
      <c r="E196" s="5" t="n">
        <v>313.14</v>
      </c>
      <c r="F196" s="5" t="n">
        <v>461.08</v>
      </c>
      <c r="G196" s="1" t="s">
        <v>17</v>
      </c>
    </row>
    <row r="197" customFormat="false" ht="15" hidden="false" customHeight="true" outlineLevel="0" collapsed="false">
      <c r="A197" s="1" t="s">
        <v>205</v>
      </c>
      <c r="B197" s="4" t="n">
        <v>46120</v>
      </c>
      <c r="C197" s="1" t="s">
        <v>19</v>
      </c>
      <c r="D197" s="1" t="n">
        <v>45</v>
      </c>
      <c r="E197" s="5" t="n">
        <v>271.59</v>
      </c>
      <c r="F197" s="5" t="n">
        <v>2832.74</v>
      </c>
      <c r="G197" s="1" t="s">
        <v>13</v>
      </c>
    </row>
    <row r="198" customFormat="false" ht="15" hidden="false" customHeight="true" outlineLevel="0" collapsed="false">
      <c r="A198" s="1" t="s">
        <v>206</v>
      </c>
      <c r="B198" s="4" t="n">
        <v>45853</v>
      </c>
      <c r="C198" s="1" t="s">
        <v>12</v>
      </c>
      <c r="D198" s="1" t="n">
        <v>26</v>
      </c>
      <c r="E198" s="5" t="n">
        <v>344</v>
      </c>
      <c r="F198" s="5" t="n">
        <v>1210.99</v>
      </c>
      <c r="G198" s="1" t="s">
        <v>13</v>
      </c>
    </row>
    <row r="199" customFormat="false" ht="15" hidden="false" customHeight="true" outlineLevel="0" collapsed="false">
      <c r="A199" s="1" t="s">
        <v>207</v>
      </c>
      <c r="B199" s="4" t="n">
        <v>46052</v>
      </c>
      <c r="C199" s="1" t="s">
        <v>16</v>
      </c>
      <c r="D199" s="1" t="n">
        <v>75</v>
      </c>
      <c r="E199" s="5" t="n">
        <v>371.54</v>
      </c>
      <c r="F199" s="5" t="n">
        <v>0</v>
      </c>
      <c r="G199" s="1" t="s">
        <v>10</v>
      </c>
    </row>
    <row r="200" customFormat="false" ht="15" hidden="false" customHeight="true" outlineLevel="0" collapsed="false">
      <c r="A200" s="1" t="s">
        <v>208</v>
      </c>
      <c r="B200" s="4" t="n">
        <v>46092</v>
      </c>
      <c r="C200" s="1" t="s">
        <v>12</v>
      </c>
      <c r="D200" s="1" t="n">
        <v>61</v>
      </c>
      <c r="E200" s="5" t="n">
        <v>259.18</v>
      </c>
      <c r="F200" s="5" t="n">
        <v>2327.53</v>
      </c>
      <c r="G200" s="1" t="s">
        <v>17</v>
      </c>
    </row>
    <row r="201" customFormat="false" ht="15" hidden="false" customHeight="true" outlineLevel="0" collapsed="false">
      <c r="A201" s="1" t="s">
        <v>209</v>
      </c>
      <c r="B201" s="4" t="n">
        <v>45912</v>
      </c>
      <c r="C201" s="1" t="s">
        <v>12</v>
      </c>
      <c r="D201" s="1" t="n">
        <v>72</v>
      </c>
      <c r="E201" s="5"/>
      <c r="F201" s="5" t="n">
        <v>0</v>
      </c>
      <c r="G201" s="1" t="s">
        <v>10</v>
      </c>
    </row>
    <row r="202" customFormat="false" ht="15" hidden="false" customHeight="true" outlineLevel="0" collapsed="false">
      <c r="A202" s="1" t="s">
        <v>210</v>
      </c>
      <c r="B202" s="4" t="n">
        <v>46135</v>
      </c>
      <c r="C202" s="1" t="s">
        <v>9</v>
      </c>
      <c r="D202" s="1" t="n">
        <v>74</v>
      </c>
      <c r="E202" s="5" t="n">
        <v>528.81</v>
      </c>
      <c r="F202" s="5" t="n">
        <v>1323.43</v>
      </c>
      <c r="G202" s="1" t="s">
        <v>13</v>
      </c>
    </row>
    <row r="203" customFormat="false" ht="15" hidden="false" customHeight="true" outlineLevel="0" collapsed="false">
      <c r="A203" s="1" t="s">
        <v>211</v>
      </c>
      <c r="B203" s="4" t="n">
        <v>46038</v>
      </c>
      <c r="C203" s="1" t="s">
        <v>9</v>
      </c>
      <c r="D203" s="1" t="n">
        <v>35</v>
      </c>
      <c r="E203" s="5" t="n">
        <v>358.75</v>
      </c>
      <c r="F203" s="5" t="n">
        <v>0</v>
      </c>
    </row>
    <row r="204" customFormat="false" ht="15" hidden="false" customHeight="true" outlineLevel="0" collapsed="false">
      <c r="A204" s="1" t="s">
        <v>212</v>
      </c>
      <c r="B204" s="4"/>
      <c r="C204" s="1" t="s">
        <v>213</v>
      </c>
      <c r="D204" s="1" t="n">
        <v>47</v>
      </c>
      <c r="E204" s="5" t="n">
        <v>122.1</v>
      </c>
      <c r="F204" s="5"/>
      <c r="G204" s="1" t="s">
        <v>13</v>
      </c>
    </row>
    <row r="205" customFormat="false" ht="15" hidden="false" customHeight="true" outlineLevel="0" collapsed="false">
      <c r="A205" s="1" t="s">
        <v>214</v>
      </c>
      <c r="B205" s="4" t="n">
        <v>46018</v>
      </c>
      <c r="C205" s="1" t="s">
        <v>12</v>
      </c>
      <c r="D205" s="1" t="n">
        <v>64</v>
      </c>
      <c r="E205" s="5" t="n">
        <v>335.45</v>
      </c>
      <c r="F205" s="5" t="n">
        <v>615.14</v>
      </c>
      <c r="G205" s="1" t="s">
        <v>17</v>
      </c>
    </row>
    <row r="206" customFormat="false" ht="15" hidden="false" customHeight="true" outlineLevel="0" collapsed="false">
      <c r="A206" s="1" t="s">
        <v>215</v>
      </c>
      <c r="B206" s="4" t="n">
        <v>46143</v>
      </c>
      <c r="C206" s="1" t="s">
        <v>12</v>
      </c>
      <c r="D206" s="1" t="n">
        <v>40</v>
      </c>
      <c r="E206" s="5" t="n">
        <v>258.57</v>
      </c>
      <c r="F206" s="5" t="n">
        <v>0</v>
      </c>
      <c r="G206" s="1" t="s">
        <v>10</v>
      </c>
    </row>
    <row r="207" customFormat="false" ht="15" hidden="false" customHeight="true" outlineLevel="0" collapsed="false">
      <c r="A207" s="1" t="s">
        <v>216</v>
      </c>
      <c r="B207" s="4" t="n">
        <v>45726</v>
      </c>
      <c r="C207" s="1" t="s">
        <v>19</v>
      </c>
      <c r="D207" s="1" t="n">
        <v>22</v>
      </c>
      <c r="E207" s="5" t="n">
        <v>269</v>
      </c>
      <c r="F207" s="5" t="n">
        <v>3241.57</v>
      </c>
    </row>
    <row r="208" customFormat="false" ht="15" hidden="false" customHeight="true" outlineLevel="0" collapsed="false">
      <c r="A208" s="1" t="s">
        <v>217</v>
      </c>
      <c r="B208" s="4" t="n">
        <v>46202</v>
      </c>
      <c r="C208" s="1" t="s">
        <v>19</v>
      </c>
      <c r="D208" s="1" t="n">
        <v>55</v>
      </c>
      <c r="E208" s="5"/>
      <c r="F208" s="5" t="n">
        <v>1253.25</v>
      </c>
      <c r="G208" s="1" t="s">
        <v>17</v>
      </c>
    </row>
    <row r="209" customFormat="false" ht="15" hidden="false" customHeight="true" outlineLevel="0" collapsed="false">
      <c r="A209" s="1" t="s">
        <v>218</v>
      </c>
      <c r="B209" s="4" t="n">
        <v>45873</v>
      </c>
      <c r="C209" s="1" t="s">
        <v>19</v>
      </c>
      <c r="D209" s="1" t="n">
        <v>33</v>
      </c>
      <c r="E209" s="5" t="n">
        <v>282.63</v>
      </c>
      <c r="F209" s="5" t="n">
        <v>3474.06</v>
      </c>
      <c r="G209" s="1" t="s">
        <v>13</v>
      </c>
    </row>
    <row r="210" customFormat="false" ht="15" hidden="false" customHeight="true" outlineLevel="0" collapsed="false">
      <c r="A210" s="1" t="s">
        <v>219</v>
      </c>
      <c r="B210" s="4"/>
      <c r="C210" s="1" t="s">
        <v>9</v>
      </c>
      <c r="D210" s="1" t="n">
        <v>41</v>
      </c>
      <c r="E210" s="5" t="n">
        <v>435.79</v>
      </c>
      <c r="F210" s="5" t="n">
        <v>0</v>
      </c>
      <c r="G210" s="1" t="s">
        <v>10</v>
      </c>
    </row>
    <row r="211" customFormat="false" ht="15" hidden="false" customHeight="true" outlineLevel="0" collapsed="false">
      <c r="A211" s="1" t="s">
        <v>220</v>
      </c>
      <c r="B211" s="4" t="n">
        <v>45718</v>
      </c>
      <c r="C211" s="1" t="s">
        <v>9</v>
      </c>
      <c r="D211" s="1" t="n">
        <v>61</v>
      </c>
      <c r="E211" s="5" t="n">
        <v>418.98</v>
      </c>
      <c r="F211" s="5" t="n">
        <v>0</v>
      </c>
    </row>
    <row r="212" customFormat="false" ht="15" hidden="false" customHeight="true" outlineLevel="0" collapsed="false">
      <c r="A212" s="1" t="s">
        <v>221</v>
      </c>
      <c r="B212" s="4" t="n">
        <v>45679</v>
      </c>
      <c r="C212" s="1" t="s">
        <v>19</v>
      </c>
      <c r="D212" s="1" t="n">
        <v>35</v>
      </c>
      <c r="E212" s="5" t="n">
        <v>276.36</v>
      </c>
      <c r="F212" s="5" t="n">
        <v>3372.3</v>
      </c>
      <c r="G212" s="1" t="s">
        <v>13</v>
      </c>
    </row>
    <row r="213" customFormat="false" ht="15" hidden="false" customHeight="true" outlineLevel="0" collapsed="false">
      <c r="A213" s="1" t="s">
        <v>222</v>
      </c>
      <c r="B213" s="4" t="n">
        <v>45922</v>
      </c>
      <c r="D213" s="1" t="n">
        <v>72</v>
      </c>
      <c r="E213" s="5" t="n">
        <v>357.36</v>
      </c>
      <c r="F213" s="5" t="n">
        <v>1485.33</v>
      </c>
      <c r="G213" s="1" t="s">
        <v>13</v>
      </c>
    </row>
    <row r="214" customFormat="false" ht="15" hidden="false" customHeight="true" outlineLevel="0" collapsed="false">
      <c r="A214" s="1" t="s">
        <v>223</v>
      </c>
      <c r="B214" s="4" t="n">
        <v>45889</v>
      </c>
      <c r="C214" s="1" t="s">
        <v>40</v>
      </c>
      <c r="D214" s="1" t="n">
        <v>80</v>
      </c>
      <c r="E214" s="5" t="n">
        <v>107.94</v>
      </c>
      <c r="F214" s="5" t="n">
        <v>0</v>
      </c>
      <c r="G214" s="1" t="s">
        <v>10</v>
      </c>
    </row>
    <row r="215" customFormat="false" ht="15" hidden="false" customHeight="true" outlineLevel="0" collapsed="false">
      <c r="A215" s="1" t="s">
        <v>224</v>
      </c>
      <c r="B215" s="4" t="n">
        <v>45976</v>
      </c>
      <c r="C215" s="1" t="s">
        <v>12</v>
      </c>
      <c r="D215" s="1" t="n">
        <v>71</v>
      </c>
      <c r="E215" s="5"/>
      <c r="F215" s="5" t="n">
        <v>2390.31</v>
      </c>
      <c r="G215" s="1" t="s">
        <v>13</v>
      </c>
    </row>
    <row r="216" customFormat="false" ht="15" hidden="false" customHeight="true" outlineLevel="0" collapsed="false">
      <c r="A216" s="1" t="s">
        <v>225</v>
      </c>
      <c r="B216" s="4" t="n">
        <v>45792</v>
      </c>
      <c r="C216" s="1" t="s">
        <v>19</v>
      </c>
      <c r="D216" s="1" t="n">
        <v>78</v>
      </c>
      <c r="E216" s="5" t="n">
        <v>416.61</v>
      </c>
      <c r="F216" s="5" t="n">
        <v>0</v>
      </c>
      <c r="G216" s="1" t="s">
        <v>10</v>
      </c>
    </row>
    <row r="217" customFormat="false" ht="15" hidden="false" customHeight="true" outlineLevel="0" collapsed="false">
      <c r="A217" s="1" t="s">
        <v>226</v>
      </c>
      <c r="B217" s="4" t="n">
        <v>45979</v>
      </c>
      <c r="C217" s="1" t="s">
        <v>19</v>
      </c>
      <c r="D217" s="1" t="n">
        <v>52</v>
      </c>
      <c r="E217" s="5" t="n">
        <v>328.71</v>
      </c>
      <c r="F217" s="5" t="n">
        <v>3230.38</v>
      </c>
      <c r="G217" s="1" t="s">
        <v>30</v>
      </c>
    </row>
    <row r="218" customFormat="false" ht="15" hidden="false" customHeight="true" outlineLevel="0" collapsed="false">
      <c r="A218" s="1" t="s">
        <v>227</v>
      </c>
      <c r="B218" s="4" t="n">
        <v>45660</v>
      </c>
      <c r="C218" s="1" t="s">
        <v>16</v>
      </c>
      <c r="D218" s="1" t="n">
        <v>30</v>
      </c>
      <c r="E218" s="5" t="n">
        <v>469.45</v>
      </c>
      <c r="F218" s="5" t="n">
        <v>0</v>
      </c>
      <c r="G218" s="1" t="s">
        <v>10</v>
      </c>
    </row>
    <row r="219" customFormat="false" ht="15" hidden="false" customHeight="true" outlineLevel="0" collapsed="false">
      <c r="A219" s="1" t="s">
        <v>228</v>
      </c>
      <c r="B219" s="4" t="n">
        <v>46148</v>
      </c>
      <c r="C219" s="1" t="s">
        <v>12</v>
      </c>
      <c r="E219" s="5" t="n">
        <v>347.66</v>
      </c>
      <c r="F219" s="5" t="n">
        <v>0</v>
      </c>
      <c r="G219" s="1" t="s">
        <v>10</v>
      </c>
    </row>
    <row r="220" customFormat="false" ht="15" hidden="false" customHeight="true" outlineLevel="0" collapsed="false">
      <c r="A220" s="1" t="s">
        <v>229</v>
      </c>
      <c r="B220" s="4" t="n">
        <v>45746</v>
      </c>
      <c r="C220" s="1" t="s">
        <v>16</v>
      </c>
      <c r="E220" s="5" t="n">
        <v>517.41</v>
      </c>
      <c r="F220" s="5" t="n">
        <v>2426.72</v>
      </c>
      <c r="G220" s="1" t="s">
        <v>30</v>
      </c>
    </row>
    <row r="221" customFormat="false" ht="15" hidden="false" customHeight="true" outlineLevel="0" collapsed="false">
      <c r="A221" s="1" t="s">
        <v>172</v>
      </c>
      <c r="B221" s="4" t="n">
        <v>45984</v>
      </c>
      <c r="C221" s="1" t="s">
        <v>12</v>
      </c>
      <c r="D221" s="1" t="n">
        <v>45</v>
      </c>
      <c r="E221" s="5" t="n">
        <v>360.25</v>
      </c>
      <c r="F221" s="5" t="n">
        <v>2486.61</v>
      </c>
      <c r="G221" s="1" t="s">
        <v>13</v>
      </c>
    </row>
    <row r="222" customFormat="false" ht="15" hidden="false" customHeight="true" outlineLevel="0" collapsed="false">
      <c r="A222" s="1" t="s">
        <v>230</v>
      </c>
      <c r="B222" s="4" t="n">
        <v>45670</v>
      </c>
      <c r="C222" s="1" t="s">
        <v>19</v>
      </c>
      <c r="D222" s="1" t="n">
        <v>40</v>
      </c>
      <c r="E222" s="5" t="n">
        <v>360.45</v>
      </c>
      <c r="F222" s="5" t="n">
        <v>1801.76</v>
      </c>
    </row>
    <row r="223" customFormat="false" ht="15" hidden="false" customHeight="true" outlineLevel="0" collapsed="false">
      <c r="A223" s="1" t="s">
        <v>231</v>
      </c>
      <c r="B223" s="4" t="n">
        <v>45704</v>
      </c>
      <c r="C223" s="1" t="s">
        <v>16</v>
      </c>
      <c r="D223" s="1" t="n">
        <v>42</v>
      </c>
      <c r="E223" s="5" t="n">
        <v>475.22</v>
      </c>
      <c r="F223" s="5" t="n">
        <v>3375.56</v>
      </c>
      <c r="G223" s="1" t="s">
        <v>13</v>
      </c>
    </row>
    <row r="224" customFormat="false" ht="15" hidden="false" customHeight="true" outlineLevel="0" collapsed="false">
      <c r="A224" s="1" t="s">
        <v>232</v>
      </c>
      <c r="B224" s="4" t="n">
        <v>45663</v>
      </c>
      <c r="C224" s="1" t="s">
        <v>16</v>
      </c>
      <c r="D224" s="1" t="n">
        <v>77</v>
      </c>
      <c r="E224" s="5" t="n">
        <v>532.19</v>
      </c>
      <c r="F224" s="5" t="n">
        <v>1639.93</v>
      </c>
      <c r="G224" s="1" t="s">
        <v>17</v>
      </c>
    </row>
    <row r="225" customFormat="false" ht="15" hidden="false" customHeight="true" outlineLevel="0" collapsed="false">
      <c r="A225" s="1" t="s">
        <v>233</v>
      </c>
      <c r="B225" s="4" t="n">
        <v>45939</v>
      </c>
      <c r="C225" s="1" t="s">
        <v>16</v>
      </c>
      <c r="D225" s="1" t="n">
        <v>80</v>
      </c>
      <c r="E225" s="5" t="n">
        <v>435.62</v>
      </c>
      <c r="F225" s="5" t="n">
        <v>1148.09</v>
      </c>
      <c r="G225" s="1" t="s">
        <v>30</v>
      </c>
    </row>
    <row r="226" customFormat="false" ht="15" hidden="false" customHeight="true" outlineLevel="0" collapsed="false">
      <c r="A226" s="1" t="s">
        <v>234</v>
      </c>
      <c r="B226" s="4" t="n">
        <v>45906</v>
      </c>
      <c r="C226" s="1" t="s">
        <v>16</v>
      </c>
      <c r="D226" s="1" t="n">
        <v>30</v>
      </c>
      <c r="E226" s="5" t="n">
        <v>465.9</v>
      </c>
      <c r="F226" s="5" t="n">
        <v>0</v>
      </c>
      <c r="G226" s="1" t="s">
        <v>10</v>
      </c>
    </row>
    <row r="227" customFormat="false" ht="15" hidden="false" customHeight="true" outlineLevel="0" collapsed="false">
      <c r="A227" s="1" t="s">
        <v>235</v>
      </c>
      <c r="B227" s="4" t="n">
        <v>46108</v>
      </c>
      <c r="C227" s="1" t="s">
        <v>40</v>
      </c>
      <c r="D227" s="1" t="n">
        <v>79</v>
      </c>
      <c r="E227" s="5" t="n">
        <v>119.92</v>
      </c>
      <c r="F227" s="5" t="n">
        <v>604.95</v>
      </c>
    </row>
    <row r="228" customFormat="false" ht="15" hidden="false" customHeight="true" outlineLevel="0" collapsed="false">
      <c r="A228" s="1" t="s">
        <v>236</v>
      </c>
      <c r="B228" s="4" t="n">
        <v>45905</v>
      </c>
      <c r="C228" s="1" t="s">
        <v>12</v>
      </c>
      <c r="D228" s="1" t="n">
        <v>67</v>
      </c>
      <c r="E228" s="5" t="n">
        <v>329.82</v>
      </c>
      <c r="F228" s="5" t="n">
        <v>2356.31</v>
      </c>
    </row>
    <row r="229" customFormat="false" ht="15" hidden="false" customHeight="true" outlineLevel="0" collapsed="false">
      <c r="A229" s="1" t="s">
        <v>237</v>
      </c>
      <c r="B229" s="4" t="n">
        <v>46012</v>
      </c>
      <c r="C229" s="1" t="s">
        <v>9</v>
      </c>
      <c r="D229" s="1" t="n">
        <v>46</v>
      </c>
      <c r="E229" s="5" t="n">
        <v>343.71</v>
      </c>
      <c r="F229" s="5" t="n">
        <v>0</v>
      </c>
      <c r="G229" s="1" t="s">
        <v>10</v>
      </c>
    </row>
    <row r="230" customFormat="false" ht="15" hidden="false" customHeight="true" outlineLevel="0" collapsed="false">
      <c r="A230" s="1" t="s">
        <v>238</v>
      </c>
      <c r="B230" s="4" t="n">
        <v>45805</v>
      </c>
      <c r="C230" s="1" t="s">
        <v>12</v>
      </c>
      <c r="D230" s="1" t="n">
        <v>28</v>
      </c>
      <c r="E230" s="5" t="n">
        <v>217.24</v>
      </c>
      <c r="F230" s="5" t="n">
        <v>0</v>
      </c>
      <c r="G230" s="1" t="s">
        <v>10</v>
      </c>
    </row>
    <row r="231" customFormat="false" ht="15" hidden="false" customHeight="true" outlineLevel="0" collapsed="false">
      <c r="A231" s="1" t="s">
        <v>239</v>
      </c>
      <c r="B231" s="4" t="n">
        <v>45753</v>
      </c>
      <c r="C231" s="1" t="s">
        <v>19</v>
      </c>
      <c r="D231" s="1" t="n">
        <v>51</v>
      </c>
      <c r="E231" s="5" t="n">
        <v>303.31</v>
      </c>
      <c r="F231" s="5" t="n">
        <v>0</v>
      </c>
      <c r="G231" s="1" t="s">
        <v>10</v>
      </c>
    </row>
    <row r="232" customFormat="false" ht="15" hidden="false" customHeight="true" outlineLevel="0" collapsed="false">
      <c r="A232" s="1" t="s">
        <v>240</v>
      </c>
      <c r="B232" s="4" t="n">
        <v>46107</v>
      </c>
      <c r="D232" s="1" t="n">
        <v>37</v>
      </c>
      <c r="E232" s="5" t="n">
        <v>310.33</v>
      </c>
      <c r="F232" s="5" t="n">
        <v>1618.29</v>
      </c>
    </row>
    <row r="233" customFormat="false" ht="15" hidden="false" customHeight="true" outlineLevel="0" collapsed="false">
      <c r="A233" s="1" t="s">
        <v>241</v>
      </c>
      <c r="B233" s="4" t="n">
        <v>45672</v>
      </c>
      <c r="C233" s="1" t="s">
        <v>12</v>
      </c>
      <c r="D233" s="1" t="n">
        <v>54</v>
      </c>
      <c r="E233" s="5" t="n">
        <v>226.52</v>
      </c>
      <c r="F233" s="5" t="n">
        <v>0</v>
      </c>
      <c r="G233" s="1" t="s">
        <v>10</v>
      </c>
    </row>
    <row r="234" customFormat="false" ht="15" hidden="false" customHeight="true" outlineLevel="0" collapsed="false">
      <c r="A234" s="1" t="s">
        <v>242</v>
      </c>
      <c r="B234" s="4"/>
      <c r="C234" s="1" t="s">
        <v>12</v>
      </c>
      <c r="D234" s="1" t="n">
        <v>51</v>
      </c>
      <c r="E234" s="5" t="n">
        <v>349.38</v>
      </c>
      <c r="F234" s="5" t="n">
        <v>1106.11</v>
      </c>
      <c r="G234" s="1" t="s">
        <v>17</v>
      </c>
    </row>
    <row r="235" customFormat="false" ht="15" hidden="false" customHeight="true" outlineLevel="0" collapsed="false">
      <c r="A235" s="1" t="s">
        <v>243</v>
      </c>
      <c r="B235" s="4" t="n">
        <v>45711</v>
      </c>
      <c r="C235" s="1" t="s">
        <v>244</v>
      </c>
      <c r="E235" s="5" t="n">
        <v>430.05</v>
      </c>
      <c r="F235" s="5" t="n">
        <v>3006.35</v>
      </c>
      <c r="G235" s="1" t="s">
        <v>17</v>
      </c>
    </row>
    <row r="236" customFormat="false" ht="15" hidden="false" customHeight="true" outlineLevel="0" collapsed="false">
      <c r="A236" s="1" t="s">
        <v>245</v>
      </c>
      <c r="B236" s="4" t="n">
        <v>45960</v>
      </c>
      <c r="C236" s="1" t="s">
        <v>40</v>
      </c>
      <c r="D236" s="1" t="n">
        <v>30</v>
      </c>
      <c r="E236" s="5" t="n">
        <v>107.14</v>
      </c>
      <c r="F236" s="5" t="n">
        <v>0</v>
      </c>
      <c r="G236" s="1" t="s">
        <v>10</v>
      </c>
    </row>
    <row r="237" customFormat="false" ht="15" hidden="false" customHeight="true" outlineLevel="0" collapsed="false">
      <c r="B237" s="4" t="n">
        <v>46074</v>
      </c>
      <c r="C237" s="1" t="s">
        <v>12</v>
      </c>
      <c r="D237" s="1" t="n">
        <v>74</v>
      </c>
      <c r="E237" s="5" t="n">
        <v>307.97</v>
      </c>
      <c r="F237" s="5" t="n">
        <v>338.82</v>
      </c>
      <c r="G237" s="1" t="s">
        <v>13</v>
      </c>
    </row>
    <row r="238" customFormat="false" ht="15" hidden="false" customHeight="true" outlineLevel="0" collapsed="false">
      <c r="A238" s="1" t="s">
        <v>246</v>
      </c>
      <c r="B238" s="4" t="n">
        <v>45803</v>
      </c>
      <c r="C238" s="1" t="s">
        <v>19</v>
      </c>
      <c r="D238" s="1" t="n">
        <v>70</v>
      </c>
      <c r="E238" s="5" t="n">
        <v>365.7</v>
      </c>
      <c r="F238" s="5" t="n">
        <v>2247.67</v>
      </c>
      <c r="G238" s="1" t="s">
        <v>13</v>
      </c>
    </row>
    <row r="239" customFormat="false" ht="15" hidden="false" customHeight="true" outlineLevel="0" collapsed="false">
      <c r="A239" s="1" t="s">
        <v>247</v>
      </c>
      <c r="B239" s="4" t="n">
        <v>46140</v>
      </c>
      <c r="C239" s="1" t="s">
        <v>9</v>
      </c>
      <c r="D239" s="1" t="n">
        <v>71</v>
      </c>
      <c r="E239" s="5" t="n">
        <v>321.7</v>
      </c>
      <c r="F239" s="5" t="n">
        <v>0</v>
      </c>
      <c r="G239" s="1" t="s">
        <v>10</v>
      </c>
    </row>
    <row r="240" customFormat="false" ht="15" hidden="false" customHeight="true" outlineLevel="0" collapsed="false">
      <c r="A240" s="1" t="s">
        <v>248</v>
      </c>
      <c r="B240" s="4" t="n">
        <v>46175</v>
      </c>
      <c r="C240" s="1" t="s">
        <v>9</v>
      </c>
      <c r="D240" s="1" t="n">
        <v>42</v>
      </c>
      <c r="E240" s="5" t="n">
        <v>362.48</v>
      </c>
      <c r="F240" s="5" t="n">
        <v>0</v>
      </c>
      <c r="G240" s="1" t="s">
        <v>10</v>
      </c>
    </row>
    <row r="241" customFormat="false" ht="15" hidden="false" customHeight="true" outlineLevel="0" collapsed="false">
      <c r="A241" s="1" t="s">
        <v>249</v>
      </c>
      <c r="B241" s="4" t="n">
        <v>45764</v>
      </c>
      <c r="C241" s="1" t="s">
        <v>16</v>
      </c>
      <c r="D241" s="1" t="n">
        <v>19</v>
      </c>
      <c r="E241" s="5" t="n">
        <v>453.01</v>
      </c>
      <c r="F241" s="5" t="n">
        <v>0</v>
      </c>
      <c r="G241" s="1" t="s">
        <v>10</v>
      </c>
    </row>
    <row r="242" customFormat="false" ht="15" hidden="false" customHeight="true" outlineLevel="0" collapsed="false">
      <c r="A242" s="1" t="s">
        <v>250</v>
      </c>
      <c r="B242" s="4"/>
      <c r="C242" s="1" t="s">
        <v>40</v>
      </c>
      <c r="D242" s="1" t="n">
        <v>62</v>
      </c>
      <c r="E242" s="5" t="n">
        <v>82.95</v>
      </c>
      <c r="F242" s="5" t="n">
        <v>392.84</v>
      </c>
      <c r="G242" s="1" t="s">
        <v>30</v>
      </c>
    </row>
    <row r="243" customFormat="false" ht="15" hidden="false" customHeight="true" outlineLevel="0" collapsed="false">
      <c r="A243" s="1" t="s">
        <v>251</v>
      </c>
      <c r="B243" s="4"/>
      <c r="C243" s="1" t="s">
        <v>16</v>
      </c>
      <c r="D243" s="1" t="n">
        <v>65</v>
      </c>
      <c r="E243" s="5" t="n">
        <v>431.88</v>
      </c>
      <c r="F243" s="5" t="n">
        <v>0</v>
      </c>
      <c r="G243" s="1" t="s">
        <v>10</v>
      </c>
    </row>
    <row r="244" customFormat="false" ht="15" hidden="false" customHeight="true" outlineLevel="0" collapsed="false">
      <c r="A244" s="1" t="s">
        <v>252</v>
      </c>
      <c r="B244" s="4" t="n">
        <v>46063</v>
      </c>
      <c r="C244" s="1" t="s">
        <v>9</v>
      </c>
      <c r="D244" s="1" t="n">
        <v>19</v>
      </c>
      <c r="E244" s="5" t="n">
        <v>343.27</v>
      </c>
      <c r="F244" s="5" t="n">
        <v>0</v>
      </c>
      <c r="G244" s="1" t="s">
        <v>10</v>
      </c>
    </row>
    <row r="245" customFormat="false" ht="15" hidden="false" customHeight="true" outlineLevel="0" collapsed="false">
      <c r="A245" s="1" t="s">
        <v>253</v>
      </c>
      <c r="B245" s="4" t="n">
        <v>46039</v>
      </c>
      <c r="C245" s="1" t="s">
        <v>9</v>
      </c>
      <c r="D245" s="1" t="n">
        <v>51</v>
      </c>
      <c r="E245" s="5"/>
      <c r="F245" s="5" t="n">
        <v>0</v>
      </c>
      <c r="G245" s="1" t="s">
        <v>10</v>
      </c>
    </row>
    <row r="246" customFormat="false" ht="15" hidden="false" customHeight="true" outlineLevel="0" collapsed="false">
      <c r="A246" s="1" t="s">
        <v>254</v>
      </c>
      <c r="B246" s="4" t="n">
        <v>45867</v>
      </c>
      <c r="C246" s="1" t="s">
        <v>12</v>
      </c>
      <c r="D246" s="1" t="n">
        <v>58</v>
      </c>
      <c r="E246" s="5" t="n">
        <v>325.07</v>
      </c>
      <c r="F246" s="5" t="n">
        <v>0</v>
      </c>
    </row>
    <row r="247" customFormat="false" ht="15" hidden="false" customHeight="true" outlineLevel="0" collapsed="false">
      <c r="A247" s="1" t="s">
        <v>255</v>
      </c>
      <c r="B247" s="4" t="n">
        <v>45742</v>
      </c>
      <c r="C247" s="1" t="s">
        <v>16</v>
      </c>
      <c r="D247" s="1" t="n">
        <v>77</v>
      </c>
      <c r="E247" s="5" t="n">
        <v>413.96</v>
      </c>
      <c r="F247" s="5" t="n">
        <v>0</v>
      </c>
      <c r="G247" s="1" t="s">
        <v>10</v>
      </c>
    </row>
    <row r="248" customFormat="false" ht="15" hidden="false" customHeight="true" outlineLevel="0" collapsed="false">
      <c r="A248" s="1" t="s">
        <v>256</v>
      </c>
      <c r="B248" s="4" t="n">
        <v>46073</v>
      </c>
      <c r="C248" s="1" t="s">
        <v>19</v>
      </c>
      <c r="D248" s="1" t="n">
        <v>72</v>
      </c>
      <c r="E248" s="5"/>
      <c r="F248" s="5" t="n">
        <v>698.12</v>
      </c>
      <c r="G248" s="1" t="s">
        <v>257</v>
      </c>
    </row>
    <row r="249" customFormat="false" ht="15" hidden="false" customHeight="true" outlineLevel="0" collapsed="false">
      <c r="A249" s="1" t="s">
        <v>249</v>
      </c>
      <c r="B249" s="4" t="n">
        <v>45764</v>
      </c>
      <c r="C249" s="1" t="s">
        <v>16</v>
      </c>
      <c r="D249" s="1" t="n">
        <v>19</v>
      </c>
      <c r="E249" s="5" t="n">
        <v>453.01</v>
      </c>
      <c r="F249" s="5" t="n">
        <v>0</v>
      </c>
      <c r="G249" s="1" t="s">
        <v>10</v>
      </c>
    </row>
    <row r="250" customFormat="false" ht="15" hidden="false" customHeight="true" outlineLevel="0" collapsed="false">
      <c r="A250" s="1" t="s">
        <v>258</v>
      </c>
      <c r="B250" s="4" t="n">
        <v>45687</v>
      </c>
      <c r="C250" s="1" t="s">
        <v>16</v>
      </c>
      <c r="D250" s="1" t="n">
        <v>22</v>
      </c>
      <c r="E250" s="5" t="n">
        <v>374.71</v>
      </c>
      <c r="F250" s="5" t="n">
        <v>0</v>
      </c>
      <c r="G250" s="1" t="s">
        <v>10</v>
      </c>
    </row>
    <row r="251" customFormat="false" ht="15" hidden="false" customHeight="true" outlineLevel="0" collapsed="false">
      <c r="A251" s="1" t="s">
        <v>259</v>
      </c>
      <c r="B251" s="4" t="n">
        <v>45713</v>
      </c>
      <c r="C251" s="1" t="s">
        <v>19</v>
      </c>
      <c r="D251" s="1" t="n">
        <v>48</v>
      </c>
      <c r="E251" s="5" t="n">
        <v>317.73</v>
      </c>
      <c r="F251" s="5" t="n">
        <v>0</v>
      </c>
      <c r="G251" s="1" t="s">
        <v>10</v>
      </c>
    </row>
    <row r="252" customFormat="false" ht="15" hidden="false" customHeight="true" outlineLevel="0" collapsed="false">
      <c r="A252" s="1" t="s">
        <v>260</v>
      </c>
      <c r="B252" s="4" t="n">
        <v>45939</v>
      </c>
      <c r="C252" s="1" t="s">
        <v>12</v>
      </c>
      <c r="D252" s="1" t="n">
        <v>51</v>
      </c>
      <c r="E252" s="5" t="n">
        <v>215.49</v>
      </c>
      <c r="F252" s="5" t="n">
        <v>2409.18</v>
      </c>
      <c r="G252" s="1" t="s">
        <v>17</v>
      </c>
    </row>
    <row r="253" customFormat="false" ht="15" hidden="false" customHeight="true" outlineLevel="0" collapsed="false">
      <c r="A253" s="1" t="s">
        <v>261</v>
      </c>
      <c r="B253" s="4" t="n">
        <v>46119</v>
      </c>
      <c r="C253" s="1" t="s">
        <v>9</v>
      </c>
      <c r="D253" s="1" t="n">
        <v>50</v>
      </c>
      <c r="E253" s="5" t="n">
        <v>372.44</v>
      </c>
      <c r="F253" s="5" t="n">
        <v>0</v>
      </c>
      <c r="G253" s="1" t="s">
        <v>10</v>
      </c>
    </row>
    <row r="254" customFormat="false" ht="15" hidden="false" customHeight="true" outlineLevel="0" collapsed="false">
      <c r="B254" s="4" t="n">
        <v>46178</v>
      </c>
      <c r="C254" s="1" t="s">
        <v>19</v>
      </c>
      <c r="D254" s="1" t="n">
        <v>75</v>
      </c>
      <c r="E254" s="5" t="n">
        <v>316.19</v>
      </c>
      <c r="F254" s="5" t="n">
        <v>0</v>
      </c>
      <c r="G254" s="1" t="s">
        <v>10</v>
      </c>
    </row>
    <row r="255" customFormat="false" ht="15" hidden="false" customHeight="true" outlineLevel="0" collapsed="false">
      <c r="A255" s="1" t="s">
        <v>262</v>
      </c>
      <c r="B255" s="4" t="n">
        <v>46028</v>
      </c>
      <c r="D255" s="1" t="n">
        <v>58</v>
      </c>
      <c r="E255" s="5" t="n">
        <v>378.74</v>
      </c>
      <c r="F255" s="5"/>
      <c r="G255" s="1" t="s">
        <v>10</v>
      </c>
    </row>
    <row r="256" customFormat="false" ht="15" hidden="false" customHeight="true" outlineLevel="0" collapsed="false">
      <c r="B256" s="4" t="n">
        <v>46030</v>
      </c>
      <c r="C256" s="1" t="s">
        <v>16</v>
      </c>
      <c r="D256" s="1" t="n">
        <v>64</v>
      </c>
      <c r="E256" s="5" t="n">
        <v>557.06</v>
      </c>
      <c r="F256" s="5" t="n">
        <v>0</v>
      </c>
      <c r="G256" s="1" t="s">
        <v>10</v>
      </c>
    </row>
    <row r="257" customFormat="false" ht="15" hidden="false" customHeight="true" outlineLevel="0" collapsed="false">
      <c r="A257" s="1" t="s">
        <v>263</v>
      </c>
      <c r="B257" s="4" t="n">
        <v>46019</v>
      </c>
      <c r="C257" s="1" t="s">
        <v>19</v>
      </c>
      <c r="E257" s="5" t="n">
        <v>346.65</v>
      </c>
      <c r="F257" s="5" t="n">
        <v>2892.68</v>
      </c>
      <c r="G257" s="1" t="s">
        <v>13</v>
      </c>
    </row>
    <row r="258" customFormat="false" ht="15" hidden="false" customHeight="true" outlineLevel="0" collapsed="false">
      <c r="A258" s="1" t="s">
        <v>264</v>
      </c>
      <c r="B258" s="4" t="n">
        <v>45724</v>
      </c>
      <c r="C258" s="1" t="s">
        <v>9</v>
      </c>
      <c r="D258" s="1" t="n">
        <v>59</v>
      </c>
      <c r="E258" s="5" t="n">
        <v>372.8</v>
      </c>
      <c r="F258" s="5" t="n">
        <v>0</v>
      </c>
      <c r="G258" s="1" t="s">
        <v>10</v>
      </c>
    </row>
    <row r="259" customFormat="false" ht="15" hidden="false" customHeight="true" outlineLevel="0" collapsed="false">
      <c r="A259" s="1" t="s">
        <v>265</v>
      </c>
      <c r="B259" s="4" t="n">
        <v>45910</v>
      </c>
      <c r="C259" s="1" t="s">
        <v>16</v>
      </c>
      <c r="D259" s="1" t="n">
        <v>45</v>
      </c>
      <c r="E259" s="5" t="n">
        <v>380.64</v>
      </c>
      <c r="F259" s="5" t="n">
        <v>0</v>
      </c>
      <c r="G259" s="1" t="s">
        <v>10</v>
      </c>
    </row>
    <row r="260" customFormat="false" ht="15" hidden="false" customHeight="true" outlineLevel="0" collapsed="false">
      <c r="B260" s="4" t="n">
        <v>46072</v>
      </c>
      <c r="C260" s="1" t="s">
        <v>16</v>
      </c>
      <c r="D260" s="1" t="n">
        <v>69</v>
      </c>
      <c r="E260" s="5" t="n">
        <v>462.52</v>
      </c>
      <c r="F260" s="5" t="n">
        <v>0</v>
      </c>
      <c r="G260" s="1" t="s">
        <v>10</v>
      </c>
    </row>
    <row r="261" customFormat="false" ht="15" hidden="false" customHeight="true" outlineLevel="0" collapsed="false">
      <c r="A261" s="1" t="s">
        <v>266</v>
      </c>
      <c r="B261" s="4"/>
      <c r="C261" s="1" t="s">
        <v>40</v>
      </c>
      <c r="D261" s="1" t="n">
        <v>37</v>
      </c>
      <c r="E261" s="5" t="n">
        <v>120.35</v>
      </c>
      <c r="F261" s="5" t="n">
        <v>726.42</v>
      </c>
      <c r="G261" s="1" t="s">
        <v>17</v>
      </c>
    </row>
    <row r="262" customFormat="false" ht="15" hidden="false" customHeight="true" outlineLevel="0" collapsed="false">
      <c r="A262" s="1" t="s">
        <v>267</v>
      </c>
      <c r="B262" s="4"/>
      <c r="C262" s="1" t="s">
        <v>19</v>
      </c>
      <c r="D262" s="1" t="n">
        <v>74</v>
      </c>
      <c r="E262" s="5" t="n">
        <v>280.09</v>
      </c>
      <c r="F262" s="5" t="n">
        <v>2331.26</v>
      </c>
      <c r="G262" s="1" t="s">
        <v>17</v>
      </c>
    </row>
    <row r="263" customFormat="false" ht="15" hidden="false" customHeight="true" outlineLevel="0" collapsed="false">
      <c r="A263" s="1" t="s">
        <v>268</v>
      </c>
      <c r="B263" s="4" t="n">
        <v>45798</v>
      </c>
      <c r="C263" s="1" t="s">
        <v>40</v>
      </c>
      <c r="D263" s="1" t="n">
        <v>40</v>
      </c>
      <c r="E263" s="5" t="n">
        <v>124.72</v>
      </c>
      <c r="F263" s="5"/>
      <c r="G263" s="1" t="s">
        <v>17</v>
      </c>
    </row>
    <row r="264" customFormat="false" ht="15" hidden="false" customHeight="true" outlineLevel="0" collapsed="false">
      <c r="A264" s="1" t="s">
        <v>269</v>
      </c>
      <c r="B264" s="4" t="n">
        <v>45741</v>
      </c>
      <c r="D264" s="1" t="n">
        <v>29</v>
      </c>
      <c r="E264" s="5" t="n">
        <v>281.59</v>
      </c>
      <c r="F264" s="5" t="n">
        <v>0</v>
      </c>
      <c r="G264" s="1" t="s">
        <v>10</v>
      </c>
    </row>
    <row r="265" customFormat="false" ht="15" hidden="false" customHeight="true" outlineLevel="0" collapsed="false">
      <c r="A265" s="1" t="s">
        <v>270</v>
      </c>
      <c r="B265" s="4" t="n">
        <v>46078</v>
      </c>
      <c r="C265" s="1" t="s">
        <v>19</v>
      </c>
      <c r="D265" s="1" t="n">
        <v>47</v>
      </c>
      <c r="E265" s="5" t="n">
        <v>387.89</v>
      </c>
      <c r="F265" s="5"/>
      <c r="G265" s="1" t="s">
        <v>10</v>
      </c>
    </row>
    <row r="266" customFormat="false" ht="15" hidden="false" customHeight="true" outlineLevel="0" collapsed="false">
      <c r="A266" s="1" t="s">
        <v>271</v>
      </c>
      <c r="B266" s="4" t="n">
        <v>45869</v>
      </c>
      <c r="C266" s="1" t="s">
        <v>12</v>
      </c>
      <c r="D266" s="1" t="n">
        <v>65</v>
      </c>
      <c r="E266" s="5" t="n">
        <v>276.34</v>
      </c>
      <c r="F266" s="5" t="n">
        <v>0</v>
      </c>
      <c r="G266" s="1" t="s">
        <v>10</v>
      </c>
    </row>
    <row r="267" customFormat="false" ht="15" hidden="false" customHeight="true" outlineLevel="0" collapsed="false">
      <c r="B267" s="4" t="n">
        <v>45901</v>
      </c>
      <c r="C267" s="1" t="s">
        <v>12</v>
      </c>
      <c r="D267" s="1" t="n">
        <v>72</v>
      </c>
      <c r="E267" s="5" t="n">
        <v>317.27</v>
      </c>
      <c r="F267" s="5" t="n">
        <v>1280.27</v>
      </c>
      <c r="G267" s="1" t="s">
        <v>30</v>
      </c>
    </row>
    <row r="268" customFormat="false" ht="15" hidden="false" customHeight="true" outlineLevel="0" collapsed="false">
      <c r="A268" s="1" t="s">
        <v>272</v>
      </c>
      <c r="B268" s="4" t="n">
        <v>45758</v>
      </c>
      <c r="C268" s="1" t="s">
        <v>9</v>
      </c>
      <c r="D268" s="1" t="n">
        <v>24</v>
      </c>
      <c r="E268" s="5" t="n">
        <v>448.65</v>
      </c>
      <c r="F268" s="5" t="n">
        <v>0</v>
      </c>
      <c r="G268" s="1" t="s">
        <v>10</v>
      </c>
    </row>
    <row r="269" customFormat="false" ht="15" hidden="false" customHeight="true" outlineLevel="0" collapsed="false">
      <c r="A269" s="1" t="s">
        <v>273</v>
      </c>
      <c r="B269" s="4" t="n">
        <v>45974</v>
      </c>
      <c r="C269" s="1" t="s">
        <v>19</v>
      </c>
      <c r="D269" s="1" t="n">
        <v>30</v>
      </c>
      <c r="E269" s="5" t="n">
        <v>443.86</v>
      </c>
      <c r="F269" s="5" t="n">
        <v>0</v>
      </c>
      <c r="G269" s="1" t="s">
        <v>10</v>
      </c>
    </row>
    <row r="270" customFormat="false" ht="15" hidden="false" customHeight="true" outlineLevel="0" collapsed="false">
      <c r="A270" s="1" t="s">
        <v>274</v>
      </c>
      <c r="B270" s="4"/>
      <c r="C270" s="1" t="s">
        <v>12</v>
      </c>
      <c r="D270" s="1" t="n">
        <v>35</v>
      </c>
      <c r="E270" s="5" t="n">
        <v>360.73</v>
      </c>
      <c r="F270" s="5" t="n">
        <v>0</v>
      </c>
      <c r="G270" s="1" t="s">
        <v>10</v>
      </c>
    </row>
    <row r="271" customFormat="false" ht="15" hidden="false" customHeight="true" outlineLevel="0" collapsed="false">
      <c r="A271" s="1" t="s">
        <v>275</v>
      </c>
      <c r="B271" s="4" t="n">
        <v>45740</v>
      </c>
      <c r="C271" s="1" t="s">
        <v>19</v>
      </c>
      <c r="D271" s="1" t="n">
        <v>29</v>
      </c>
      <c r="E271" s="5" t="n">
        <v>306.83</v>
      </c>
      <c r="F271" s="5" t="n">
        <v>2131.71</v>
      </c>
      <c r="G271" s="1" t="s">
        <v>13</v>
      </c>
    </row>
    <row r="272" customFormat="false" ht="15" hidden="false" customHeight="true" outlineLevel="0" collapsed="false">
      <c r="A272" s="1" t="s">
        <v>276</v>
      </c>
      <c r="B272" s="4" t="n">
        <v>46048</v>
      </c>
      <c r="C272" s="1" t="s">
        <v>19</v>
      </c>
      <c r="D272" s="1" t="n">
        <v>30</v>
      </c>
      <c r="E272" s="5" t="n">
        <v>279.14</v>
      </c>
      <c r="F272" s="5" t="n">
        <v>1797.64</v>
      </c>
      <c r="G272" s="1" t="s">
        <v>17</v>
      </c>
    </row>
    <row r="273" customFormat="false" ht="15" hidden="false" customHeight="true" outlineLevel="0" collapsed="false">
      <c r="A273" s="1" t="s">
        <v>277</v>
      </c>
      <c r="B273" s="4" t="n">
        <v>45847</v>
      </c>
      <c r="C273" s="1" t="s">
        <v>9</v>
      </c>
      <c r="D273" s="1" t="n">
        <v>66</v>
      </c>
      <c r="E273" s="5" t="n">
        <v>506.16</v>
      </c>
      <c r="F273" s="5" t="n">
        <v>2615.49</v>
      </c>
      <c r="G273" s="1" t="s">
        <v>17</v>
      </c>
    </row>
    <row r="274" customFormat="false" ht="15" hidden="false" customHeight="true" outlineLevel="0" collapsed="false">
      <c r="A274" s="1" t="s">
        <v>278</v>
      </c>
      <c r="B274" s="4" t="n">
        <v>45735</v>
      </c>
      <c r="C274" s="1" t="s">
        <v>16</v>
      </c>
      <c r="D274" s="1" t="n">
        <v>75</v>
      </c>
      <c r="E274" s="5" t="n">
        <v>377.49</v>
      </c>
      <c r="F274" s="5"/>
      <c r="G274" s="1" t="s">
        <v>13</v>
      </c>
    </row>
    <row r="275" customFormat="false" ht="15" hidden="false" customHeight="true" outlineLevel="0" collapsed="false">
      <c r="A275" s="1" t="s">
        <v>279</v>
      </c>
      <c r="B275" s="4" t="n">
        <v>45786</v>
      </c>
      <c r="C275" s="1" t="s">
        <v>12</v>
      </c>
      <c r="E275" s="5" t="n">
        <v>246.65</v>
      </c>
      <c r="F275" s="5" t="n">
        <v>0</v>
      </c>
      <c r="G275" s="1" t="s">
        <v>10</v>
      </c>
    </row>
    <row r="276" customFormat="false" ht="15" hidden="false" customHeight="true" outlineLevel="0" collapsed="false">
      <c r="A276" s="1" t="s">
        <v>280</v>
      </c>
      <c r="B276" s="4" t="n">
        <v>45792</v>
      </c>
      <c r="C276" s="1" t="s">
        <v>19</v>
      </c>
      <c r="D276" s="1" t="n">
        <v>74</v>
      </c>
      <c r="E276" s="5" t="n">
        <v>394.49</v>
      </c>
      <c r="F276" s="5"/>
      <c r="G276" s="1" t="s">
        <v>17</v>
      </c>
    </row>
    <row r="277" customFormat="false" ht="15" hidden="false" customHeight="true" outlineLevel="0" collapsed="false">
      <c r="A277" s="1" t="s">
        <v>281</v>
      </c>
      <c r="B277" s="4" t="n">
        <v>46011</v>
      </c>
      <c r="C277" s="1" t="s">
        <v>16</v>
      </c>
      <c r="D277" s="1" t="n">
        <v>23</v>
      </c>
      <c r="E277" s="5" t="n">
        <v>524.87</v>
      </c>
      <c r="F277" s="5" t="n">
        <v>4345.62</v>
      </c>
      <c r="G277" s="1" t="s">
        <v>30</v>
      </c>
    </row>
    <row r="278" customFormat="false" ht="15" hidden="false" customHeight="true" outlineLevel="0" collapsed="false">
      <c r="A278" s="1" t="s">
        <v>282</v>
      </c>
      <c r="B278" s="4"/>
      <c r="C278" s="1" t="s">
        <v>9</v>
      </c>
      <c r="D278" s="1" t="n">
        <v>31</v>
      </c>
      <c r="E278" s="5" t="n">
        <v>465.26</v>
      </c>
      <c r="F278" s="5" t="n">
        <v>2501.64</v>
      </c>
      <c r="G278" s="1" t="s">
        <v>13</v>
      </c>
    </row>
    <row r="279" customFormat="false" ht="15" hidden="false" customHeight="true" outlineLevel="0" collapsed="false">
      <c r="A279" s="1" t="s">
        <v>283</v>
      </c>
      <c r="B279" s="4" t="n">
        <v>45672</v>
      </c>
      <c r="D279" s="1" t="n">
        <v>74</v>
      </c>
      <c r="E279" s="5" t="n">
        <v>260.28</v>
      </c>
      <c r="F279" s="5" t="n">
        <v>896.46</v>
      </c>
      <c r="G279" s="1" t="s">
        <v>30</v>
      </c>
    </row>
    <row r="280" customFormat="false" ht="15" hidden="false" customHeight="true" outlineLevel="0" collapsed="false">
      <c r="A280" s="1" t="s">
        <v>284</v>
      </c>
      <c r="B280" s="4" t="n">
        <v>46103</v>
      </c>
      <c r="C280" s="1" t="s">
        <v>40</v>
      </c>
      <c r="D280" s="1" t="n">
        <v>57</v>
      </c>
      <c r="E280" s="5" t="n">
        <v>107.21</v>
      </c>
      <c r="F280" s="5"/>
      <c r="G280" s="1" t="s">
        <v>17</v>
      </c>
    </row>
    <row r="281" customFormat="false" ht="15" hidden="false" customHeight="true" outlineLevel="0" collapsed="false">
      <c r="A281" s="1" t="s">
        <v>285</v>
      </c>
      <c r="B281" s="4" t="n">
        <v>45658</v>
      </c>
      <c r="C281" s="1" t="s">
        <v>16</v>
      </c>
      <c r="E281" s="5" t="n">
        <v>540.17</v>
      </c>
      <c r="F281" s="5" t="n">
        <v>2816.84</v>
      </c>
      <c r="G281" s="1" t="s">
        <v>17</v>
      </c>
    </row>
    <row r="282" customFormat="false" ht="15" hidden="false" customHeight="true" outlineLevel="0" collapsed="false">
      <c r="A282" s="1" t="s">
        <v>286</v>
      </c>
      <c r="B282" s="4" t="n">
        <v>45674</v>
      </c>
      <c r="C282" s="1" t="s">
        <v>9</v>
      </c>
      <c r="D282" s="1" t="n">
        <v>30</v>
      </c>
      <c r="E282" s="5" t="n">
        <v>403.38</v>
      </c>
      <c r="F282" s="5" t="n">
        <v>0</v>
      </c>
      <c r="G282" s="1" t="s">
        <v>10</v>
      </c>
    </row>
    <row r="283" customFormat="false" ht="15" hidden="false" customHeight="true" outlineLevel="0" collapsed="false">
      <c r="A283" s="1" t="s">
        <v>287</v>
      </c>
      <c r="B283" s="4" t="n">
        <v>45871</v>
      </c>
      <c r="C283" s="1" t="s">
        <v>19</v>
      </c>
      <c r="D283" s="1" t="n">
        <v>24</v>
      </c>
      <c r="E283" s="5" t="n">
        <v>341.31</v>
      </c>
      <c r="F283" s="5" t="n">
        <v>1903.29</v>
      </c>
      <c r="G283" s="1" t="s">
        <v>17</v>
      </c>
    </row>
    <row r="284" customFormat="false" ht="15" hidden="false" customHeight="true" outlineLevel="0" collapsed="false">
      <c r="A284" s="1" t="s">
        <v>288</v>
      </c>
      <c r="B284" s="4"/>
      <c r="C284" s="1" t="s">
        <v>9</v>
      </c>
      <c r="D284" s="1" t="n">
        <v>19</v>
      </c>
      <c r="E284" s="5" t="n">
        <v>366.05</v>
      </c>
      <c r="F284" s="5" t="n">
        <v>0</v>
      </c>
      <c r="G284" s="1" t="s">
        <v>10</v>
      </c>
    </row>
    <row r="285" customFormat="false" ht="15" hidden="false" customHeight="true" outlineLevel="0" collapsed="false">
      <c r="A285" s="1" t="s">
        <v>289</v>
      </c>
      <c r="B285" s="4" t="n">
        <v>45905</v>
      </c>
      <c r="C285" s="1" t="s">
        <v>19</v>
      </c>
      <c r="D285" s="1" t="n">
        <v>62</v>
      </c>
      <c r="E285" s="5" t="n">
        <v>316.28</v>
      </c>
      <c r="F285" s="5" t="n">
        <v>2676.48</v>
      </c>
      <c r="G285" s="1" t="s">
        <v>17</v>
      </c>
    </row>
    <row r="286" customFormat="false" ht="15" hidden="false" customHeight="true" outlineLevel="0" collapsed="false">
      <c r="A286" s="1" t="s">
        <v>23</v>
      </c>
      <c r="B286" s="4" t="n">
        <v>45905</v>
      </c>
      <c r="C286" s="1" t="s">
        <v>12</v>
      </c>
      <c r="D286" s="1" t="n">
        <v>23</v>
      </c>
      <c r="E286" s="5" t="n">
        <v>339.63</v>
      </c>
      <c r="F286" s="5" t="n">
        <v>0</v>
      </c>
      <c r="G286" s="1" t="s">
        <v>10</v>
      </c>
    </row>
    <row r="287" customFormat="false" ht="15" hidden="false" customHeight="true" outlineLevel="0" collapsed="false">
      <c r="A287" s="1" t="s">
        <v>290</v>
      </c>
      <c r="B287" s="4" t="n">
        <v>46097</v>
      </c>
      <c r="C287" s="1" t="s">
        <v>12</v>
      </c>
      <c r="D287" s="1" t="n">
        <v>31</v>
      </c>
      <c r="E287" s="5"/>
      <c r="F287" s="5" t="n">
        <v>0</v>
      </c>
      <c r="G287" s="1" t="s">
        <v>10</v>
      </c>
    </row>
    <row r="288" customFormat="false" ht="15" hidden="false" customHeight="true" outlineLevel="0" collapsed="false">
      <c r="A288" s="1" t="s">
        <v>291</v>
      </c>
      <c r="B288" s="4" t="n">
        <v>45793</v>
      </c>
      <c r="C288" s="1" t="s">
        <v>12</v>
      </c>
      <c r="D288" s="1" t="n">
        <v>36</v>
      </c>
      <c r="E288" s="5" t="n">
        <v>234.21</v>
      </c>
      <c r="F288" s="5" t="n">
        <v>0</v>
      </c>
      <c r="G288" s="1" t="s">
        <v>10</v>
      </c>
    </row>
    <row r="289" customFormat="false" ht="15" hidden="false" customHeight="true" outlineLevel="0" collapsed="false">
      <c r="A289" s="1" t="s">
        <v>292</v>
      </c>
      <c r="B289" s="4" t="n">
        <v>45997</v>
      </c>
      <c r="D289" s="1" t="n">
        <v>60</v>
      </c>
      <c r="E289" s="5" t="n">
        <v>118.77</v>
      </c>
      <c r="F289" s="5" t="n">
        <v>0</v>
      </c>
      <c r="G289" s="1" t="s">
        <v>10</v>
      </c>
    </row>
    <row r="290" customFormat="false" ht="15" hidden="false" customHeight="true" outlineLevel="0" collapsed="false">
      <c r="A290" s="1" t="s">
        <v>293</v>
      </c>
      <c r="B290" s="4" t="n">
        <v>45803</v>
      </c>
      <c r="D290" s="1" t="n">
        <v>37</v>
      </c>
      <c r="E290" s="5" t="n">
        <v>368.48</v>
      </c>
      <c r="F290" s="5" t="n">
        <v>1534.08</v>
      </c>
      <c r="G290" s="1" t="s">
        <v>30</v>
      </c>
    </row>
    <row r="291" customFormat="false" ht="15" hidden="false" customHeight="true" outlineLevel="0" collapsed="false">
      <c r="A291" s="1" t="s">
        <v>272</v>
      </c>
      <c r="B291" s="4" t="n">
        <v>45758</v>
      </c>
      <c r="C291" s="1" t="s">
        <v>9</v>
      </c>
      <c r="D291" s="1" t="n">
        <v>24</v>
      </c>
      <c r="E291" s="5" t="n">
        <v>-7</v>
      </c>
      <c r="F291" s="5" t="n">
        <v>0</v>
      </c>
      <c r="G291" s="1" t="s">
        <v>10</v>
      </c>
    </row>
    <row r="292" customFormat="false" ht="15" hidden="false" customHeight="true" outlineLevel="0" collapsed="false">
      <c r="A292" s="1" t="s">
        <v>294</v>
      </c>
      <c r="B292" s="4" t="n">
        <v>45856</v>
      </c>
      <c r="C292" s="1" t="s">
        <v>12</v>
      </c>
      <c r="D292" s="1" t="n">
        <v>40</v>
      </c>
      <c r="E292" s="5" t="n">
        <v>350.67</v>
      </c>
      <c r="F292" s="5" t="n">
        <v>601.96</v>
      </c>
      <c r="G292" s="1" t="s">
        <v>13</v>
      </c>
    </row>
    <row r="293" customFormat="false" ht="15" hidden="false" customHeight="true" outlineLevel="0" collapsed="false">
      <c r="A293" s="1" t="s">
        <v>295</v>
      </c>
      <c r="B293" s="4" t="n">
        <v>45858</v>
      </c>
      <c r="C293" s="1" t="s">
        <v>16</v>
      </c>
      <c r="D293" s="1" t="n">
        <v>50</v>
      </c>
      <c r="E293" s="5" t="n">
        <v>376.36</v>
      </c>
      <c r="F293" s="5" t="n">
        <v>1097.74</v>
      </c>
      <c r="G293" s="1" t="s">
        <v>13</v>
      </c>
    </row>
    <row r="294" customFormat="false" ht="15" hidden="false" customHeight="true" outlineLevel="0" collapsed="false">
      <c r="A294" s="1" t="s">
        <v>296</v>
      </c>
      <c r="B294" s="4" t="n">
        <v>46228</v>
      </c>
      <c r="C294" s="1" t="s">
        <v>19</v>
      </c>
      <c r="D294" s="1" t="n">
        <v>52</v>
      </c>
      <c r="E294" s="5" t="n">
        <v>339.59</v>
      </c>
      <c r="F294" s="5" t="n">
        <v>0</v>
      </c>
      <c r="G294" s="1" t="s">
        <v>10</v>
      </c>
    </row>
    <row r="295" customFormat="false" ht="15" hidden="false" customHeight="true" outlineLevel="0" collapsed="false">
      <c r="B295" s="4" t="n">
        <v>46114</v>
      </c>
      <c r="C295" s="1" t="s">
        <v>12</v>
      </c>
      <c r="D295" s="1" t="n">
        <v>31</v>
      </c>
      <c r="E295" s="5" t="n">
        <v>272.62</v>
      </c>
      <c r="F295" s="5" t="n">
        <v>2256.03</v>
      </c>
      <c r="G295" s="1" t="s">
        <v>17</v>
      </c>
    </row>
    <row r="296" customFormat="false" ht="15" hidden="false" customHeight="true" outlineLevel="0" collapsed="false">
      <c r="A296" s="1" t="s">
        <v>297</v>
      </c>
      <c r="B296" s="4" t="n">
        <v>45919</v>
      </c>
      <c r="C296" s="1" t="s">
        <v>19</v>
      </c>
      <c r="D296" s="1" t="n">
        <v>68</v>
      </c>
      <c r="E296" s="5" t="n">
        <v>436.45</v>
      </c>
      <c r="F296" s="5" t="n">
        <v>2970.52</v>
      </c>
      <c r="G296" s="1" t="s">
        <v>17</v>
      </c>
    </row>
    <row r="297" customFormat="false" ht="15" hidden="false" customHeight="true" outlineLevel="0" collapsed="false">
      <c r="A297" s="1" t="s">
        <v>298</v>
      </c>
      <c r="B297" s="4" t="n">
        <v>45744</v>
      </c>
      <c r="C297" s="1" t="s">
        <v>9</v>
      </c>
      <c r="D297" s="1" t="n">
        <v>26</v>
      </c>
      <c r="E297" s="5" t="n">
        <v>504.32</v>
      </c>
      <c r="F297" s="5" t="n">
        <v>1353.33</v>
      </c>
      <c r="G297" s="1" t="s">
        <v>17</v>
      </c>
    </row>
    <row r="298" customFormat="false" ht="15" hidden="false" customHeight="true" outlineLevel="0" collapsed="false">
      <c r="A298" s="1" t="s">
        <v>299</v>
      </c>
      <c r="B298" s="4" t="n">
        <v>46038</v>
      </c>
      <c r="C298" s="1" t="s">
        <v>19</v>
      </c>
      <c r="E298" s="5" t="n">
        <v>257.97</v>
      </c>
      <c r="F298" s="5" t="n">
        <v>0</v>
      </c>
      <c r="G298" s="1" t="s">
        <v>10</v>
      </c>
    </row>
    <row r="299" customFormat="false" ht="15" hidden="false" customHeight="true" outlineLevel="0" collapsed="false">
      <c r="A299" s="1" t="s">
        <v>300</v>
      </c>
      <c r="B299" s="4" t="n">
        <v>45929</v>
      </c>
      <c r="C299" s="1" t="s">
        <v>12</v>
      </c>
      <c r="D299" s="1" t="n">
        <v>46</v>
      </c>
      <c r="E299" s="5" t="n">
        <v>-9</v>
      </c>
      <c r="F299" s="5" t="n">
        <v>0</v>
      </c>
      <c r="G299" s="1" t="s">
        <v>10</v>
      </c>
    </row>
    <row r="300" customFormat="false" ht="15" hidden="false" customHeight="true" outlineLevel="0" collapsed="false">
      <c r="A300" s="1" t="s">
        <v>301</v>
      </c>
      <c r="B300" s="4" t="n">
        <v>46054</v>
      </c>
      <c r="C300" s="1" t="s">
        <v>12</v>
      </c>
      <c r="E300" s="5" t="n">
        <v>287.26</v>
      </c>
      <c r="F300" s="5" t="n">
        <v>0</v>
      </c>
      <c r="G300" s="1" t="s">
        <v>10</v>
      </c>
    </row>
    <row r="301" customFormat="false" ht="15" hidden="false" customHeight="true" outlineLevel="0" collapsed="false">
      <c r="A301" s="1" t="s">
        <v>302</v>
      </c>
      <c r="B301" s="4" t="n">
        <v>46033</v>
      </c>
      <c r="C301" s="1" t="s">
        <v>19</v>
      </c>
      <c r="D301" s="1" t="n">
        <v>30</v>
      </c>
      <c r="E301" s="5" t="n">
        <v>387.67</v>
      </c>
      <c r="F301" s="5" t="n">
        <v>0</v>
      </c>
      <c r="G301" s="1" t="s">
        <v>10</v>
      </c>
    </row>
    <row r="302" customFormat="false" ht="15" hidden="false" customHeight="true" outlineLevel="0" collapsed="false">
      <c r="A302" s="1" t="s">
        <v>303</v>
      </c>
      <c r="B302" s="4" t="n">
        <v>46107</v>
      </c>
      <c r="C302" s="1" t="s">
        <v>9</v>
      </c>
      <c r="D302" s="1" t="n">
        <v>20</v>
      </c>
      <c r="E302" s="5" t="n">
        <v>398.51</v>
      </c>
      <c r="F302" s="5" t="n">
        <v>0</v>
      </c>
      <c r="G302" s="1" t="s">
        <v>10</v>
      </c>
    </row>
    <row r="303" customFormat="false" ht="15" hidden="false" customHeight="true" outlineLevel="0" collapsed="false">
      <c r="A303" s="1" t="s">
        <v>304</v>
      </c>
      <c r="B303" s="4" t="n">
        <v>45889</v>
      </c>
      <c r="C303" s="1" t="s">
        <v>9</v>
      </c>
      <c r="D303" s="1" t="n">
        <v>32</v>
      </c>
      <c r="E303" s="5" t="n">
        <v>316.87</v>
      </c>
      <c r="F303" s="5" t="n">
        <v>0</v>
      </c>
      <c r="G303" s="1" t="s">
        <v>10</v>
      </c>
    </row>
  </sheetData>
  <mergeCells count="1">
    <mergeCell ref="A1:G1"/>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395"/>
    <pageSetUpPr fitToPage="true"/>
  </sheetPr>
  <dimension ref="A1:Q2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1" width="14"/>
    <col collapsed="false" customWidth="true" hidden="false" outlineLevel="0" max="9" min="9" style="1" width="22"/>
    <col collapsed="false" customWidth="true" hidden="false" outlineLevel="0" max="10" min="10" style="1" width="10"/>
    <col collapsed="false" customWidth="true" hidden="false" outlineLevel="0" max="13" min="11" style="1" width="14"/>
    <col collapsed="false" customWidth="true" hidden="false" outlineLevel="0" max="14" min="14" style="1" width="20"/>
    <col collapsed="false" customWidth="true" hidden="false" outlineLevel="0" max="17" min="15" style="1" width="14"/>
  </cols>
  <sheetData>
    <row r="1" customFormat="false" ht="15.75" hidden="false" customHeight="true" outlineLevel="0" collapsed="false">
      <c r="A1" s="6" t="s">
        <v>305</v>
      </c>
      <c r="B1" s="6"/>
      <c r="C1" s="6"/>
      <c r="D1" s="6"/>
      <c r="E1" s="6"/>
      <c r="F1" s="6"/>
      <c r="G1" s="6"/>
      <c r="H1" s="6"/>
      <c r="I1" s="6"/>
      <c r="J1" s="6"/>
      <c r="K1" s="6"/>
      <c r="L1" s="6"/>
      <c r="M1" s="6"/>
      <c r="N1" s="6"/>
    </row>
    <row r="3" customFormat="false" ht="26.25" hidden="false" customHeight="true" outlineLevel="0" collapsed="false">
      <c r="A3" s="7" t="s">
        <v>306</v>
      </c>
      <c r="B3" s="7" t="s">
        <v>1</v>
      </c>
      <c r="C3" s="7" t="s">
        <v>2</v>
      </c>
      <c r="D3" s="7" t="s">
        <v>3</v>
      </c>
      <c r="E3" s="7" t="s">
        <v>4</v>
      </c>
      <c r="F3" s="7" t="s">
        <v>5</v>
      </c>
      <c r="G3" s="7" t="s">
        <v>6</v>
      </c>
      <c r="H3" s="7" t="s">
        <v>7</v>
      </c>
      <c r="I3" s="7" t="s">
        <v>307</v>
      </c>
      <c r="J3" s="7" t="s">
        <v>308</v>
      </c>
      <c r="K3" s="7" t="s">
        <v>309</v>
      </c>
      <c r="L3" s="7" t="s">
        <v>310</v>
      </c>
      <c r="M3" s="7" t="s">
        <v>311</v>
      </c>
      <c r="N3" s="7" t="s">
        <v>312</v>
      </c>
      <c r="O3" s="7" t="s">
        <v>313</v>
      </c>
      <c r="P3" s="7" t="s">
        <v>314</v>
      </c>
      <c r="Q3" s="7" t="s">
        <v>315</v>
      </c>
    </row>
    <row r="4" customFormat="false" ht="15" hidden="false" customHeight="true" outlineLevel="0" collapsed="false">
      <c r="A4" s="1" t="n">
        <v>1</v>
      </c>
      <c r="B4" s="1" t="s">
        <v>8</v>
      </c>
      <c r="C4" s="4" t="n">
        <v>45939</v>
      </c>
      <c r="D4" s="1" t="s">
        <v>9</v>
      </c>
      <c r="E4" s="8" t="n">
        <v>73</v>
      </c>
      <c r="F4" s="9" t="n">
        <v>313.1</v>
      </c>
      <c r="G4" s="9" t="n">
        <v>0</v>
      </c>
      <c r="H4" s="1" t="s">
        <v>10</v>
      </c>
      <c r="I4" s="1" t="s">
        <v>316</v>
      </c>
      <c r="J4" s="8" t="n">
        <f aca="false">YEAR(C4)</f>
        <v>2025</v>
      </c>
      <c r="K4" s="1" t="str">
        <f aca="false">TEXT(C4,"mmm-yyyy")</f>
        <v>Oct-2025</v>
      </c>
      <c r="L4" s="1" t="str">
        <f aca="false">_xlfn.IFS(E4&lt;25,"Young (18-24)",E4&lt;=40,"Adult (25-40)",E4&lt;=60,"Mid-Age (41-60)",TRUE(),"Senior (60+)")</f>
        <v>Senior (60+)</v>
      </c>
      <c r="M4" s="10" t="n">
        <f aca="false">IF(F4=0,0,ROUND(G4/F4,2))</f>
        <v>0</v>
      </c>
      <c r="N4" s="1" t="str">
        <f aca="false">IF(AND(G4&gt;3000,H4="Approved"),"High-Value Approved",IF(OR(H4="Pending",H4="Unknown"),"Needs Review","Normal"))</f>
        <v>Normal</v>
      </c>
      <c r="O4" s="1" t="str">
        <f aca="false">LEFT(B4,3)</f>
        <v>POL</v>
      </c>
      <c r="P4" s="1" t="str">
        <f aca="false">UPPER(D4)</f>
        <v>LIFE</v>
      </c>
      <c r="Q4" s="1" t="n">
        <f aca="true">NETWORKDAYS(C4,TODAY())</f>
        <v>229</v>
      </c>
    </row>
    <row r="5" customFormat="false" ht="15" hidden="false" customHeight="true" outlineLevel="0" collapsed="false">
      <c r="A5" s="1" t="n">
        <v>2</v>
      </c>
      <c r="B5" s="1" t="s">
        <v>11</v>
      </c>
      <c r="C5" s="4" t="n">
        <v>46136</v>
      </c>
      <c r="D5" s="1" t="s">
        <v>12</v>
      </c>
      <c r="E5" s="8" t="n">
        <v>31</v>
      </c>
      <c r="F5" s="9" t="n">
        <v>323.64</v>
      </c>
      <c r="G5" s="9" t="n">
        <v>1646.56</v>
      </c>
      <c r="H5" s="1" t="s">
        <v>13</v>
      </c>
      <c r="I5" s="1" t="s">
        <v>317</v>
      </c>
      <c r="J5" s="8" t="n">
        <f aca="false">YEAR(C5)</f>
        <v>2026</v>
      </c>
      <c r="K5" s="1" t="str">
        <f aca="false">TEXT(C5,"mmm-yyyy")</f>
        <v>Apr-2026</v>
      </c>
      <c r="L5" s="1" t="str">
        <f aca="false">_xlfn.IFS(E5&lt;25,"Young (18-24)",E5&lt;=40,"Adult (25-40)",E5&lt;=60,"Mid-Age (41-60)",TRUE(),"Senior (60+)")</f>
        <v>Adult (25-40)</v>
      </c>
      <c r="M5" s="10" t="n">
        <f aca="false">IF(F5=0,0,ROUND(G5/F5,2))</f>
        <v>5.09</v>
      </c>
      <c r="N5" s="1" t="str">
        <f aca="false">IF(AND(G5&gt;3000,H5="Approved"),"High-Value Approved",IF(OR(H5="Pending",H5="Unknown"),"Needs Review","Normal"))</f>
        <v>Needs Review</v>
      </c>
      <c r="O5" s="1" t="str">
        <f aca="false">LEFT(B5,3)</f>
        <v>POL</v>
      </c>
      <c r="P5" s="1" t="str">
        <f aca="false">UPPER(D5)</f>
        <v>MOTOR</v>
      </c>
      <c r="Q5" s="1" t="n">
        <f aca="true">NETWORKDAYS(C5,TODAY())</f>
        <v>88</v>
      </c>
    </row>
    <row r="6" customFormat="false" ht="15" hidden="false" customHeight="true" outlineLevel="0" collapsed="false">
      <c r="A6" s="1" t="n">
        <v>3</v>
      </c>
      <c r="B6" s="1" t="s">
        <v>14</v>
      </c>
      <c r="C6" s="4" t="n">
        <v>45701</v>
      </c>
      <c r="D6" s="1" t="s">
        <v>9</v>
      </c>
      <c r="E6" s="8" t="n">
        <v>37</v>
      </c>
      <c r="F6" s="9" t="n">
        <v>333.82</v>
      </c>
      <c r="G6" s="9" t="n">
        <v>4200.03</v>
      </c>
      <c r="H6" s="1" t="s">
        <v>13</v>
      </c>
      <c r="I6" s="1" t="s">
        <v>318</v>
      </c>
      <c r="J6" s="8" t="n">
        <f aca="false">YEAR(C6)</f>
        <v>2025</v>
      </c>
      <c r="K6" s="1" t="str">
        <f aca="false">TEXT(C6,"mmm-yyyy")</f>
        <v>Feb-2025</v>
      </c>
      <c r="L6" s="1" t="str">
        <f aca="false">_xlfn.IFS(E6&lt;25,"Young (18-24)",E6&lt;=40,"Adult (25-40)",E6&lt;=60,"Mid-Age (41-60)",TRUE(),"Senior (60+)")</f>
        <v>Adult (25-40)</v>
      </c>
      <c r="M6" s="10" t="n">
        <f aca="false">IF(F6=0,0,ROUND(G6/F6,2))</f>
        <v>12.58</v>
      </c>
      <c r="N6" s="1" t="str">
        <f aca="false">IF(AND(G6&gt;3000,H6="Approved"),"High-Value Approved",IF(OR(H6="Pending",H6="Unknown"),"Needs Review","Normal"))</f>
        <v>Needs Review</v>
      </c>
      <c r="O6" s="1" t="str">
        <f aca="false">LEFT(B6,3)</f>
        <v>POL</v>
      </c>
      <c r="P6" s="1" t="str">
        <f aca="false">UPPER(D6)</f>
        <v>LIFE</v>
      </c>
      <c r="Q6" s="1" t="n">
        <f aca="true">NETWORKDAYS(C6,TODAY())</f>
        <v>399</v>
      </c>
    </row>
    <row r="7" customFormat="false" ht="15" hidden="false" customHeight="true" outlineLevel="0" collapsed="false">
      <c r="A7" s="1" t="n">
        <v>4</v>
      </c>
      <c r="B7" s="1" t="s">
        <v>15</v>
      </c>
      <c r="C7" s="4" t="n">
        <v>46092</v>
      </c>
      <c r="D7" s="1" t="s">
        <v>16</v>
      </c>
      <c r="E7" s="8" t="n">
        <v>31</v>
      </c>
      <c r="F7" s="9" t="n">
        <v>449.01</v>
      </c>
      <c r="G7" s="9" t="n">
        <v>1953.01</v>
      </c>
      <c r="H7" s="1" t="s">
        <v>17</v>
      </c>
      <c r="I7" s="1" t="s">
        <v>318</v>
      </c>
      <c r="J7" s="8" t="n">
        <f aca="false">YEAR(C7)</f>
        <v>2026</v>
      </c>
      <c r="K7" s="1" t="str">
        <f aca="false">TEXT(C7,"mmm-yyyy")</f>
        <v>Mar-2026</v>
      </c>
      <c r="L7" s="1" t="str">
        <f aca="false">_xlfn.IFS(E7&lt;25,"Young (18-24)",E7&lt;=40,"Adult (25-40)",E7&lt;=60,"Mid-Age (41-60)",TRUE(),"Senior (60+)")</f>
        <v>Adult (25-40)</v>
      </c>
      <c r="M7" s="10" t="n">
        <f aca="false">IF(F7=0,0,ROUND(G7/F7,2))</f>
        <v>4.35</v>
      </c>
      <c r="N7" s="1" t="str">
        <f aca="false">IF(AND(G7&gt;3000,H7="Approved"),"High-Value Approved",IF(OR(H7="Pending",H7="Unknown"),"Needs Review","Normal"))</f>
        <v>Normal</v>
      </c>
      <c r="O7" s="1" t="str">
        <f aca="false">LEFT(B7,3)</f>
        <v>POL</v>
      </c>
      <c r="P7" s="1" t="str">
        <f aca="false">UPPER(D7)</f>
        <v>PROPERTY</v>
      </c>
      <c r="Q7" s="1" t="n">
        <f aca="true">NETWORKDAYS(C7,TODAY())</f>
        <v>120</v>
      </c>
    </row>
    <row r="8" customFormat="false" ht="15" hidden="false" customHeight="true" outlineLevel="0" collapsed="false">
      <c r="A8" s="1" t="n">
        <v>5</v>
      </c>
      <c r="B8" s="1" t="s">
        <v>18</v>
      </c>
      <c r="C8" s="4" t="n">
        <v>46002</v>
      </c>
      <c r="D8" s="1" t="s">
        <v>19</v>
      </c>
      <c r="E8" s="8" t="n">
        <v>28</v>
      </c>
      <c r="F8" s="9" t="n">
        <v>378.73</v>
      </c>
      <c r="G8" s="9" t="n">
        <v>0</v>
      </c>
      <c r="H8" s="1" t="s">
        <v>10</v>
      </c>
      <c r="I8" s="1" t="s">
        <v>318</v>
      </c>
      <c r="J8" s="8" t="n">
        <f aca="false">YEAR(C8)</f>
        <v>2025</v>
      </c>
      <c r="K8" s="1" t="str">
        <f aca="false">TEXT(C8,"mmm-yyyy")</f>
        <v>Dec-2025</v>
      </c>
      <c r="L8" s="1" t="str">
        <f aca="false">_xlfn.IFS(E8&lt;25,"Young (18-24)",E8&lt;=40,"Adult (25-40)",E8&lt;=60,"Mid-Age (41-60)",TRUE(),"Senior (60+)")</f>
        <v>Adult (25-40)</v>
      </c>
      <c r="M8" s="10" t="n">
        <f aca="false">IF(F8=0,0,ROUND(G8/F8,2))</f>
        <v>0</v>
      </c>
      <c r="N8" s="1" t="str">
        <f aca="false">IF(AND(G8&gt;3000,H8="Approved"),"High-Value Approved",IF(OR(H8="Pending",H8="Unknown"),"Needs Review","Normal"))</f>
        <v>Normal</v>
      </c>
      <c r="O8" s="1" t="str">
        <f aca="false">LEFT(B8,3)</f>
        <v>POL</v>
      </c>
      <c r="P8" s="1" t="str">
        <f aca="false">UPPER(D8)</f>
        <v>HEALTH</v>
      </c>
      <c r="Q8" s="1" t="n">
        <f aca="true">NETWORKDAYS(C8,TODAY())</f>
        <v>184</v>
      </c>
    </row>
    <row r="9" customFormat="false" ht="15" hidden="false" customHeight="true" outlineLevel="0" collapsed="false">
      <c r="A9" s="1" t="n">
        <v>6</v>
      </c>
      <c r="B9" s="1" t="s">
        <v>20</v>
      </c>
      <c r="C9" s="4" t="n">
        <v>45977</v>
      </c>
      <c r="D9" s="1" t="s">
        <v>9</v>
      </c>
      <c r="E9" s="8" t="n">
        <v>43</v>
      </c>
      <c r="F9" s="9" t="n">
        <v>528.8</v>
      </c>
      <c r="G9" s="9" t="n">
        <v>3093.69</v>
      </c>
      <c r="H9" s="1" t="s">
        <v>17</v>
      </c>
      <c r="I9" s="1" t="s">
        <v>318</v>
      </c>
      <c r="J9" s="8" t="n">
        <f aca="false">YEAR(C9)</f>
        <v>2025</v>
      </c>
      <c r="K9" s="1" t="str">
        <f aca="false">TEXT(C9,"mmm-yyyy")</f>
        <v>Nov-2025</v>
      </c>
      <c r="L9" s="1" t="str">
        <f aca="false">_xlfn.IFS(E9&lt;25,"Young (18-24)",E9&lt;=40,"Adult (25-40)",E9&lt;=60,"Mid-Age (41-60)",TRUE(),"Senior (60+)")</f>
        <v>Mid-Age (41-60)</v>
      </c>
      <c r="M9" s="10" t="n">
        <f aca="false">IF(F9=0,0,ROUND(G9/F9,2))</f>
        <v>5.85</v>
      </c>
      <c r="N9" s="1" t="str">
        <f aca="false">IF(AND(G9&gt;3000,H9="Approved"),"High-Value Approved",IF(OR(H9="Pending",H9="Unknown"),"Needs Review","Normal"))</f>
        <v>High-Value Approved</v>
      </c>
      <c r="O9" s="1" t="str">
        <f aca="false">LEFT(B9,3)</f>
        <v>POL</v>
      </c>
      <c r="P9" s="1" t="str">
        <f aca="false">UPPER(D9)</f>
        <v>LIFE</v>
      </c>
      <c r="Q9" s="1" t="n">
        <f aca="true">NETWORKDAYS(C9,TODAY())</f>
        <v>202</v>
      </c>
    </row>
    <row r="10" customFormat="false" ht="15" hidden="false" customHeight="true" outlineLevel="0" collapsed="false">
      <c r="A10" s="1" t="n">
        <v>7</v>
      </c>
      <c r="B10" s="1" t="s">
        <v>21</v>
      </c>
      <c r="C10" s="4" t="n">
        <v>45986</v>
      </c>
      <c r="D10" s="1" t="s">
        <v>9</v>
      </c>
      <c r="E10" s="8" t="n">
        <v>53</v>
      </c>
      <c r="F10" s="9" t="n">
        <v>354.41</v>
      </c>
      <c r="G10" s="9" t="n">
        <v>391.32</v>
      </c>
      <c r="H10" s="1" t="s">
        <v>17</v>
      </c>
      <c r="I10" s="1" t="s">
        <v>318</v>
      </c>
      <c r="J10" s="8" t="n">
        <f aca="false">YEAR(C10)</f>
        <v>2025</v>
      </c>
      <c r="K10" s="1" t="str">
        <f aca="false">TEXT(C10,"mmm-yyyy")</f>
        <v>Nov-2025</v>
      </c>
      <c r="L10" s="1" t="str">
        <f aca="false">_xlfn.IFS(E10&lt;25,"Young (18-24)",E10&lt;=40,"Adult (25-40)",E10&lt;=60,"Mid-Age (41-60)",TRUE(),"Senior (60+)")</f>
        <v>Mid-Age (41-60)</v>
      </c>
      <c r="M10" s="10" t="n">
        <f aca="false">IF(F10=0,0,ROUND(G10/F10,2))</f>
        <v>1.1</v>
      </c>
      <c r="N10" s="1" t="str">
        <f aca="false">IF(AND(G10&gt;3000,H10="Approved"),"High-Value Approved",IF(OR(H10="Pending",H10="Unknown"),"Needs Review","Normal"))</f>
        <v>Normal</v>
      </c>
      <c r="O10" s="1" t="str">
        <f aca="false">LEFT(B10,3)</f>
        <v>POL</v>
      </c>
      <c r="P10" s="1" t="str">
        <f aca="false">UPPER(D10)</f>
        <v>LIFE</v>
      </c>
      <c r="Q10" s="1" t="n">
        <f aca="true">NETWORKDAYS(C10,TODAY())</f>
        <v>196</v>
      </c>
    </row>
    <row r="11" customFormat="false" ht="15" hidden="false" customHeight="true" outlineLevel="0" collapsed="false">
      <c r="A11" s="1" t="n">
        <v>8</v>
      </c>
      <c r="B11" s="1" t="s">
        <v>22</v>
      </c>
      <c r="C11" s="4" t="n">
        <v>45778</v>
      </c>
      <c r="D11" s="1" t="s">
        <v>19</v>
      </c>
      <c r="E11" s="8" t="n">
        <v>60</v>
      </c>
      <c r="F11" s="9" t="n">
        <v>364.96</v>
      </c>
      <c r="G11" s="9" t="n">
        <v>0</v>
      </c>
      <c r="H11" s="1" t="s">
        <v>10</v>
      </c>
      <c r="I11" s="1" t="s">
        <v>318</v>
      </c>
      <c r="J11" s="8" t="n">
        <f aca="false">YEAR(C11)</f>
        <v>2025</v>
      </c>
      <c r="K11" s="1" t="str">
        <f aca="false">TEXT(C11,"mmm-yyyy")</f>
        <v>May-2025</v>
      </c>
      <c r="L11" s="1" t="str">
        <f aca="false">_xlfn.IFS(E11&lt;25,"Young (18-24)",E11&lt;=40,"Adult (25-40)",E11&lt;=60,"Mid-Age (41-60)",TRUE(),"Senior (60+)")</f>
        <v>Mid-Age (41-60)</v>
      </c>
      <c r="M11" s="10" t="n">
        <f aca="false">IF(F11=0,0,ROUND(G11/F11,2))</f>
        <v>0</v>
      </c>
      <c r="N11" s="1" t="str">
        <f aca="false">IF(AND(G11&gt;3000,H11="Approved"),"High-Value Approved",IF(OR(H11="Pending",H11="Unknown"),"Needs Review","Normal"))</f>
        <v>Normal</v>
      </c>
      <c r="O11" s="1" t="str">
        <f aca="false">LEFT(B11,3)</f>
        <v>POL</v>
      </c>
      <c r="P11" s="1" t="str">
        <f aca="false">UPPER(D11)</f>
        <v>HEALTH</v>
      </c>
      <c r="Q11" s="1" t="n">
        <f aca="true">NETWORKDAYS(C11,TODAY())</f>
        <v>344</v>
      </c>
    </row>
    <row r="12" customFormat="false" ht="15" hidden="false" customHeight="true" outlineLevel="0" collapsed="false">
      <c r="A12" s="1" t="n">
        <v>9</v>
      </c>
      <c r="B12" s="1" t="s">
        <v>23</v>
      </c>
      <c r="C12" s="4" t="n">
        <v>45905</v>
      </c>
      <c r="D12" s="1" t="s">
        <v>12</v>
      </c>
      <c r="E12" s="8" t="n">
        <v>23</v>
      </c>
      <c r="F12" s="9" t="n">
        <v>339.63</v>
      </c>
      <c r="G12" s="9" t="n">
        <v>0</v>
      </c>
      <c r="H12" s="1" t="s">
        <v>10</v>
      </c>
      <c r="I12" s="1" t="s">
        <v>318</v>
      </c>
      <c r="J12" s="8" t="n">
        <f aca="false">YEAR(C12)</f>
        <v>2025</v>
      </c>
      <c r="K12" s="1" t="str">
        <f aca="false">TEXT(C12,"mmm-yyyy")</f>
        <v>Sep-2025</v>
      </c>
      <c r="L12" s="1" t="str">
        <f aca="false">_xlfn.IFS(E12&lt;25,"Young (18-24)",E12&lt;=40,"Adult (25-40)",E12&lt;=60,"Mid-Age (41-60)",TRUE(),"Senior (60+)")</f>
        <v>Young (18-24)</v>
      </c>
      <c r="M12" s="10" t="n">
        <f aca="false">IF(F12=0,0,ROUND(G12/F12,2))</f>
        <v>0</v>
      </c>
      <c r="N12" s="1" t="str">
        <f aca="false">IF(AND(G12&gt;3000,H12="Approved"),"High-Value Approved",IF(OR(H12="Pending",H12="Unknown"),"Needs Review","Normal"))</f>
        <v>Normal</v>
      </c>
      <c r="O12" s="1" t="str">
        <f aca="false">LEFT(B12,3)</f>
        <v>POL</v>
      </c>
      <c r="P12" s="1" t="str">
        <f aca="false">UPPER(D12)</f>
        <v>MOTOR</v>
      </c>
      <c r="Q12" s="1" t="n">
        <f aca="true">NETWORKDAYS(C12,TODAY())</f>
        <v>253</v>
      </c>
    </row>
    <row r="13" customFormat="false" ht="15" hidden="false" customHeight="true" outlineLevel="0" collapsed="false">
      <c r="A13" s="1" t="n">
        <v>10</v>
      </c>
      <c r="B13" s="1" t="s">
        <v>24</v>
      </c>
      <c r="C13" s="4" t="n">
        <v>45939</v>
      </c>
      <c r="D13" s="1" t="s">
        <v>16</v>
      </c>
      <c r="E13" s="8" t="n">
        <v>62</v>
      </c>
      <c r="F13" s="9" t="n">
        <v>395.53</v>
      </c>
      <c r="G13" s="9" t="n">
        <v>4924.33</v>
      </c>
      <c r="H13" s="1" t="s">
        <v>13</v>
      </c>
      <c r="I13" s="1" t="s">
        <v>318</v>
      </c>
      <c r="J13" s="8" t="n">
        <f aca="false">YEAR(C13)</f>
        <v>2025</v>
      </c>
      <c r="K13" s="1" t="str">
        <f aca="false">TEXT(C13,"mmm-yyyy")</f>
        <v>Oct-2025</v>
      </c>
      <c r="L13" s="1" t="str">
        <f aca="false">_xlfn.IFS(E13&lt;25,"Young (18-24)",E13&lt;=40,"Adult (25-40)",E13&lt;=60,"Mid-Age (41-60)",TRUE(),"Senior (60+)")</f>
        <v>Senior (60+)</v>
      </c>
      <c r="M13" s="10" t="n">
        <f aca="false">IF(F13=0,0,ROUND(G13/F13,2))</f>
        <v>12.45</v>
      </c>
      <c r="N13" s="1" t="str">
        <f aca="false">IF(AND(G13&gt;3000,H13="Approved"),"High-Value Approved",IF(OR(H13="Pending",H13="Unknown"),"Needs Review","Normal"))</f>
        <v>Needs Review</v>
      </c>
      <c r="O13" s="1" t="str">
        <f aca="false">LEFT(B13,3)</f>
        <v>POL</v>
      </c>
      <c r="P13" s="1" t="str">
        <f aca="false">UPPER(D13)</f>
        <v>PROPERTY</v>
      </c>
      <c r="Q13" s="1" t="n">
        <f aca="true">NETWORKDAYS(C13,TODAY())</f>
        <v>229</v>
      </c>
    </row>
    <row r="14" customFormat="false" ht="15" hidden="false" customHeight="true" outlineLevel="0" collapsed="false">
      <c r="A14" s="1" t="n">
        <v>11</v>
      </c>
      <c r="B14" s="1" t="s">
        <v>25</v>
      </c>
      <c r="C14" s="4" t="n">
        <v>45843</v>
      </c>
      <c r="D14" s="1" t="s">
        <v>19</v>
      </c>
      <c r="E14" s="8" t="n">
        <v>74</v>
      </c>
      <c r="F14" s="9" t="n">
        <v>351.89</v>
      </c>
      <c r="G14" s="9" t="n">
        <v>0</v>
      </c>
      <c r="H14" s="1" t="s">
        <v>10</v>
      </c>
      <c r="I14" s="1" t="s">
        <v>318</v>
      </c>
      <c r="J14" s="8" t="n">
        <f aca="false">YEAR(C14)</f>
        <v>2025</v>
      </c>
      <c r="K14" s="1" t="str">
        <f aca="false">TEXT(C14,"mmm-yyyy")</f>
        <v>Jul-2025</v>
      </c>
      <c r="L14" s="1" t="str">
        <f aca="false">_xlfn.IFS(E14&lt;25,"Young (18-24)",E14&lt;=40,"Adult (25-40)",E14&lt;=60,"Mid-Age (41-60)",TRUE(),"Senior (60+)")</f>
        <v>Senior (60+)</v>
      </c>
      <c r="M14" s="10" t="n">
        <f aca="false">IF(F14=0,0,ROUND(G14/F14,2))</f>
        <v>0</v>
      </c>
      <c r="N14" s="1" t="str">
        <f aca="false">IF(AND(G14&gt;3000,H14="Approved"),"High-Value Approved",IF(OR(H14="Pending",H14="Unknown"),"Needs Review","Normal"))</f>
        <v>Normal</v>
      </c>
      <c r="O14" s="1" t="str">
        <f aca="false">LEFT(B14,3)</f>
        <v>POL</v>
      </c>
      <c r="P14" s="1" t="str">
        <f aca="false">UPPER(D14)</f>
        <v>HEALTH</v>
      </c>
      <c r="Q14" s="1" t="n">
        <f aca="true">NETWORKDAYS(C14,TODAY())</f>
        <v>297</v>
      </c>
    </row>
    <row r="15" customFormat="false" ht="15" hidden="false" customHeight="true" outlineLevel="0" collapsed="false">
      <c r="A15" s="1" t="n">
        <v>12</v>
      </c>
      <c r="B15" s="1" t="s">
        <v>26</v>
      </c>
      <c r="C15" s="4" t="n">
        <v>45860</v>
      </c>
      <c r="D15" s="1" t="s">
        <v>16</v>
      </c>
      <c r="E15" s="8" t="n">
        <v>70</v>
      </c>
      <c r="F15" s="9" t="n">
        <v>565.56</v>
      </c>
      <c r="G15" s="9" t="n">
        <v>0</v>
      </c>
      <c r="H15" s="1" t="s">
        <v>10</v>
      </c>
      <c r="I15" s="1" t="s">
        <v>318</v>
      </c>
      <c r="J15" s="8" t="n">
        <f aca="false">YEAR(C15)</f>
        <v>2025</v>
      </c>
      <c r="K15" s="1" t="str">
        <f aca="false">TEXT(C15,"mmm-yyyy")</f>
        <v>Jul-2025</v>
      </c>
      <c r="L15" s="1" t="str">
        <f aca="false">_xlfn.IFS(E15&lt;25,"Young (18-24)",E15&lt;=40,"Adult (25-40)",E15&lt;=60,"Mid-Age (41-60)",TRUE(),"Senior (60+)")</f>
        <v>Senior (60+)</v>
      </c>
      <c r="M15" s="10" t="n">
        <f aca="false">IF(F15=0,0,ROUND(G15/F15,2))</f>
        <v>0</v>
      </c>
      <c r="N15" s="1" t="str">
        <f aca="false">IF(AND(G15&gt;3000,H15="Approved"),"High-Value Approved",IF(OR(H15="Pending",H15="Unknown"),"Needs Review","Normal"))</f>
        <v>Normal</v>
      </c>
      <c r="O15" s="1" t="str">
        <f aca="false">LEFT(B15,3)</f>
        <v>POL</v>
      </c>
      <c r="P15" s="1" t="str">
        <f aca="false">UPPER(D15)</f>
        <v>PROPERTY</v>
      </c>
      <c r="Q15" s="1" t="n">
        <f aca="true">NETWORKDAYS(C15,TODAY())</f>
        <v>286</v>
      </c>
    </row>
    <row r="16" customFormat="false" ht="15" hidden="false" customHeight="true" outlineLevel="0" collapsed="false">
      <c r="A16" s="1" t="n">
        <v>13</v>
      </c>
      <c r="B16" s="1" t="s">
        <v>27</v>
      </c>
      <c r="C16" s="4" t="n">
        <v>45672</v>
      </c>
      <c r="D16" s="1" t="s">
        <v>19</v>
      </c>
      <c r="E16" s="8" t="n">
        <v>72</v>
      </c>
      <c r="F16" s="9" t="n">
        <v>299.62</v>
      </c>
      <c r="G16" s="9" t="n">
        <v>0</v>
      </c>
      <c r="H16" s="1" t="s">
        <v>10</v>
      </c>
      <c r="I16" s="1" t="s">
        <v>318</v>
      </c>
      <c r="J16" s="8" t="n">
        <f aca="false">YEAR(C16)</f>
        <v>2025</v>
      </c>
      <c r="K16" s="1" t="str">
        <f aca="false">TEXT(C16,"mmm-yyyy")</f>
        <v>Jan-2025</v>
      </c>
      <c r="L16" s="1" t="str">
        <f aca="false">_xlfn.IFS(E16&lt;25,"Young (18-24)",E16&lt;=40,"Adult (25-40)",E16&lt;=60,"Mid-Age (41-60)",TRUE(),"Senior (60+)")</f>
        <v>Senior (60+)</v>
      </c>
      <c r="M16" s="10" t="n">
        <f aca="false">IF(F16=0,0,ROUND(G16/F16,2))</f>
        <v>0</v>
      </c>
      <c r="N16" s="1" t="str">
        <f aca="false">IF(AND(G16&gt;3000,H16="Approved"),"High-Value Approved",IF(OR(H16="Pending",H16="Unknown"),"Needs Review","Normal"))</f>
        <v>Normal</v>
      </c>
      <c r="O16" s="1" t="str">
        <f aca="false">LEFT(B16,3)</f>
        <v>POL</v>
      </c>
      <c r="P16" s="1" t="str">
        <f aca="false">UPPER(D16)</f>
        <v>HEALTH</v>
      </c>
      <c r="Q16" s="1" t="n">
        <f aca="true">NETWORKDAYS(C16,TODAY())</f>
        <v>420</v>
      </c>
    </row>
    <row r="17" customFormat="false" ht="15" hidden="false" customHeight="true" outlineLevel="0" collapsed="false">
      <c r="A17" s="1" t="n">
        <v>14</v>
      </c>
      <c r="B17" s="1" t="s">
        <v>28</v>
      </c>
      <c r="C17" s="4" t="n">
        <v>46030</v>
      </c>
      <c r="D17" s="1" t="s">
        <v>16</v>
      </c>
      <c r="E17" s="8" t="n">
        <v>35</v>
      </c>
      <c r="F17" s="9" t="n">
        <v>489.34</v>
      </c>
      <c r="G17" s="9" t="n">
        <v>0</v>
      </c>
      <c r="H17" s="1" t="s">
        <v>10</v>
      </c>
      <c r="I17" s="1" t="s">
        <v>318</v>
      </c>
      <c r="J17" s="8" t="n">
        <f aca="false">YEAR(C17)</f>
        <v>2026</v>
      </c>
      <c r="K17" s="1" t="str">
        <f aca="false">TEXT(C17,"mmm-yyyy")</f>
        <v>Jan-2026</v>
      </c>
      <c r="L17" s="1" t="str">
        <f aca="false">_xlfn.IFS(E17&lt;25,"Young (18-24)",E17&lt;=40,"Adult (25-40)",E17&lt;=60,"Mid-Age (41-60)",TRUE(),"Senior (60+)")</f>
        <v>Adult (25-40)</v>
      </c>
      <c r="M17" s="10" t="n">
        <f aca="false">IF(F17=0,0,ROUND(G17/F17,2))</f>
        <v>0</v>
      </c>
      <c r="N17" s="1" t="str">
        <f aca="false">IF(AND(G17&gt;3000,H17="Approved"),"High-Value Approved",IF(OR(H17="Pending",H17="Unknown"),"Needs Review","Normal"))</f>
        <v>Normal</v>
      </c>
      <c r="O17" s="1" t="str">
        <f aca="false">LEFT(B17,3)</f>
        <v>POL</v>
      </c>
      <c r="P17" s="1" t="str">
        <f aca="false">UPPER(D17)</f>
        <v>PROPERTY</v>
      </c>
      <c r="Q17" s="1" t="n">
        <f aca="true">NETWORKDAYS(C17,TODAY())</f>
        <v>164</v>
      </c>
    </row>
    <row r="18" customFormat="false" ht="15" hidden="false" customHeight="true" outlineLevel="0" collapsed="false">
      <c r="A18" s="1" t="n">
        <v>15</v>
      </c>
      <c r="B18" s="1" t="s">
        <v>29</v>
      </c>
      <c r="C18" s="4" t="n">
        <v>45690</v>
      </c>
      <c r="D18" s="1" t="s">
        <v>9</v>
      </c>
      <c r="E18" s="8" t="n">
        <v>62</v>
      </c>
      <c r="F18" s="9" t="n">
        <v>459.88</v>
      </c>
      <c r="G18" s="9" t="n">
        <v>2930.07</v>
      </c>
      <c r="H18" s="1" t="s">
        <v>30</v>
      </c>
      <c r="I18" s="1" t="s">
        <v>317</v>
      </c>
      <c r="J18" s="8" t="n">
        <f aca="false">YEAR(C18)</f>
        <v>2025</v>
      </c>
      <c r="K18" s="1" t="str">
        <f aca="false">TEXT(C18,"mmm-yyyy")</f>
        <v>Feb-2025</v>
      </c>
      <c r="L18" s="1" t="str">
        <f aca="false">_xlfn.IFS(E18&lt;25,"Young (18-24)",E18&lt;=40,"Adult (25-40)",E18&lt;=60,"Mid-Age (41-60)",TRUE(),"Senior (60+)")</f>
        <v>Senior (60+)</v>
      </c>
      <c r="M18" s="10" t="n">
        <f aca="false">IF(F18=0,0,ROUND(G18/F18,2))</f>
        <v>6.37</v>
      </c>
      <c r="N18" s="1" t="str">
        <f aca="false">IF(AND(G18&gt;3000,H18="Approved"),"High-Value Approved",IF(OR(H18="Pending",H18="Unknown"),"Needs Review","Normal"))</f>
        <v>Normal</v>
      </c>
      <c r="O18" s="1" t="str">
        <f aca="false">LEFT(B18,3)</f>
        <v>POL</v>
      </c>
      <c r="P18" s="1" t="str">
        <f aca="false">UPPER(D18)</f>
        <v>LIFE</v>
      </c>
      <c r="Q18" s="1" t="n">
        <f aca="true">NETWORKDAYS(C18,TODAY())</f>
        <v>407</v>
      </c>
    </row>
    <row r="19" customFormat="false" ht="15" hidden="false" customHeight="true" outlineLevel="0" collapsed="false">
      <c r="A19" s="1" t="n">
        <v>16</v>
      </c>
      <c r="B19" s="1" t="s">
        <v>31</v>
      </c>
      <c r="C19" s="4" t="n">
        <v>45939</v>
      </c>
      <c r="D19" s="1" t="s">
        <v>16</v>
      </c>
      <c r="E19" s="8" t="n">
        <v>32</v>
      </c>
      <c r="F19" s="9" t="n">
        <v>457.2</v>
      </c>
      <c r="G19" s="9" t="n">
        <v>4730.21</v>
      </c>
      <c r="H19" s="1" t="s">
        <v>13</v>
      </c>
      <c r="I19" s="1" t="s">
        <v>316</v>
      </c>
      <c r="J19" s="8" t="n">
        <f aca="false">YEAR(C19)</f>
        <v>2025</v>
      </c>
      <c r="K19" s="1" t="str">
        <f aca="false">TEXT(C19,"mmm-yyyy")</f>
        <v>Oct-2025</v>
      </c>
      <c r="L19" s="1" t="str">
        <f aca="false">_xlfn.IFS(E19&lt;25,"Young (18-24)",E19&lt;=40,"Adult (25-40)",E19&lt;=60,"Mid-Age (41-60)",TRUE(),"Senior (60+)")</f>
        <v>Adult (25-40)</v>
      </c>
      <c r="M19" s="10" t="n">
        <f aca="false">IF(F19=0,0,ROUND(G19/F19,2))</f>
        <v>10.35</v>
      </c>
      <c r="N19" s="1" t="str">
        <f aca="false">IF(AND(G19&gt;3000,H19="Approved"),"High-Value Approved",IF(OR(H19="Pending",H19="Unknown"),"Needs Review","Normal"))</f>
        <v>Needs Review</v>
      </c>
      <c r="O19" s="1" t="str">
        <f aca="false">LEFT(B19,3)</f>
        <v>POL</v>
      </c>
      <c r="P19" s="1" t="str">
        <f aca="false">UPPER(D19)</f>
        <v>PROPERTY</v>
      </c>
      <c r="Q19" s="1" t="n">
        <f aca="true">NETWORKDAYS(C19,TODAY())</f>
        <v>229</v>
      </c>
    </row>
    <row r="20" customFormat="false" ht="15" hidden="false" customHeight="true" outlineLevel="0" collapsed="false">
      <c r="A20" s="1" t="n">
        <v>17</v>
      </c>
      <c r="B20" s="1" t="s">
        <v>32</v>
      </c>
      <c r="C20" s="4" t="n">
        <v>45721</v>
      </c>
      <c r="D20" s="1" t="s">
        <v>19</v>
      </c>
      <c r="E20" s="8" t="n">
        <v>26</v>
      </c>
      <c r="F20" s="9" t="n">
        <v>400.34</v>
      </c>
      <c r="G20" s="9" t="n">
        <v>3358.5</v>
      </c>
      <c r="H20" s="1" t="s">
        <v>13</v>
      </c>
      <c r="I20" s="1" t="s">
        <v>318</v>
      </c>
      <c r="J20" s="8" t="n">
        <f aca="false">YEAR(C20)</f>
        <v>2025</v>
      </c>
      <c r="K20" s="1" t="str">
        <f aca="false">TEXT(C20,"mmm-yyyy")</f>
        <v>Mar-2025</v>
      </c>
      <c r="L20" s="1" t="str">
        <f aca="false">_xlfn.IFS(E20&lt;25,"Young (18-24)",E20&lt;=40,"Adult (25-40)",E20&lt;=60,"Mid-Age (41-60)",TRUE(),"Senior (60+)")</f>
        <v>Adult (25-40)</v>
      </c>
      <c r="M20" s="10" t="n">
        <f aca="false">IF(F20=0,0,ROUND(G20/F20,2))</f>
        <v>8.39</v>
      </c>
      <c r="N20" s="1" t="str">
        <f aca="false">IF(AND(G20&gt;3000,H20="Approved"),"High-Value Approved",IF(OR(H20="Pending",H20="Unknown"),"Needs Review","Normal"))</f>
        <v>Needs Review</v>
      </c>
      <c r="O20" s="1" t="str">
        <f aca="false">LEFT(B20,3)</f>
        <v>POL</v>
      </c>
      <c r="P20" s="1" t="str">
        <f aca="false">UPPER(D20)</f>
        <v>HEALTH</v>
      </c>
      <c r="Q20" s="1" t="n">
        <f aca="true">NETWORKDAYS(C20,TODAY())</f>
        <v>385</v>
      </c>
    </row>
    <row r="21" customFormat="false" ht="15" hidden="false" customHeight="true" outlineLevel="0" collapsed="false">
      <c r="A21" s="1" t="n">
        <v>18</v>
      </c>
      <c r="B21" s="1" t="s">
        <v>33</v>
      </c>
      <c r="C21" s="4" t="n">
        <v>45730</v>
      </c>
      <c r="D21" s="1" t="s">
        <v>12</v>
      </c>
      <c r="E21" s="8" t="n">
        <v>73</v>
      </c>
      <c r="F21" s="9" t="n">
        <v>225.58</v>
      </c>
      <c r="G21" s="9" t="n">
        <v>0</v>
      </c>
      <c r="H21" s="1" t="s">
        <v>10</v>
      </c>
      <c r="I21" s="1" t="s">
        <v>318</v>
      </c>
      <c r="J21" s="8" t="n">
        <f aca="false">YEAR(C21)</f>
        <v>2025</v>
      </c>
      <c r="K21" s="1" t="str">
        <f aca="false">TEXT(C21,"mmm-yyyy")</f>
        <v>Mar-2025</v>
      </c>
      <c r="L21" s="1" t="str">
        <f aca="false">_xlfn.IFS(E21&lt;25,"Young (18-24)",E21&lt;=40,"Adult (25-40)",E21&lt;=60,"Mid-Age (41-60)",TRUE(),"Senior (60+)")</f>
        <v>Senior (60+)</v>
      </c>
      <c r="M21" s="10" t="n">
        <f aca="false">IF(F21=0,0,ROUND(G21/F21,2))</f>
        <v>0</v>
      </c>
      <c r="N21" s="1" t="str">
        <f aca="false">IF(AND(G21&gt;3000,H21="Approved"),"High-Value Approved",IF(OR(H21="Pending",H21="Unknown"),"Needs Review","Normal"))</f>
        <v>Normal</v>
      </c>
      <c r="O21" s="1" t="str">
        <f aca="false">LEFT(B21,3)</f>
        <v>POL</v>
      </c>
      <c r="P21" s="1" t="str">
        <f aca="false">UPPER(D21)</f>
        <v>MOTOR</v>
      </c>
      <c r="Q21" s="1" t="n">
        <f aca="true">NETWORKDAYS(C21,TODAY())</f>
        <v>378</v>
      </c>
    </row>
    <row r="22" customFormat="false" ht="15" hidden="false" customHeight="true" outlineLevel="0" collapsed="false">
      <c r="A22" s="1" t="n">
        <v>19</v>
      </c>
      <c r="B22" s="1" t="s">
        <v>34</v>
      </c>
      <c r="C22" s="4" t="n">
        <v>46015</v>
      </c>
      <c r="D22" s="1" t="s">
        <v>19</v>
      </c>
      <c r="E22" s="8" t="n">
        <v>71</v>
      </c>
      <c r="F22" s="9" t="n">
        <v>316.81</v>
      </c>
      <c r="G22" s="9" t="n">
        <v>665.9</v>
      </c>
      <c r="H22" s="1" t="s">
        <v>30</v>
      </c>
      <c r="I22" s="1" t="s">
        <v>318</v>
      </c>
      <c r="J22" s="8" t="n">
        <f aca="false">YEAR(C22)</f>
        <v>2025</v>
      </c>
      <c r="K22" s="1" t="str">
        <f aca="false">TEXT(C22,"mmm-yyyy")</f>
        <v>Dec-2025</v>
      </c>
      <c r="L22" s="1" t="str">
        <f aca="false">_xlfn.IFS(E22&lt;25,"Young (18-24)",E22&lt;=40,"Adult (25-40)",E22&lt;=60,"Mid-Age (41-60)",TRUE(),"Senior (60+)")</f>
        <v>Senior (60+)</v>
      </c>
      <c r="M22" s="10" t="n">
        <f aca="false">IF(F22=0,0,ROUND(G22/F22,2))</f>
        <v>2.1</v>
      </c>
      <c r="N22" s="1" t="str">
        <f aca="false">IF(AND(G22&gt;3000,H22="Approved"),"High-Value Approved",IF(OR(H22="Pending",H22="Unknown"),"Needs Review","Normal"))</f>
        <v>Normal</v>
      </c>
      <c r="O22" s="1" t="str">
        <f aca="false">LEFT(B22,3)</f>
        <v>POL</v>
      </c>
      <c r="P22" s="1" t="str">
        <f aca="false">UPPER(D22)</f>
        <v>HEALTH</v>
      </c>
      <c r="Q22" s="1" t="n">
        <f aca="true">NETWORKDAYS(C22,TODAY())</f>
        <v>175</v>
      </c>
    </row>
    <row r="23" customFormat="false" ht="15" hidden="false" customHeight="true" outlineLevel="0" collapsed="false">
      <c r="A23" s="1" t="n">
        <v>20</v>
      </c>
      <c r="B23" s="1" t="s">
        <v>35</v>
      </c>
      <c r="C23" s="4" t="n">
        <v>45719</v>
      </c>
      <c r="D23" s="1" t="s">
        <v>9</v>
      </c>
      <c r="E23" s="8" t="n">
        <v>45</v>
      </c>
      <c r="F23" s="9" t="n">
        <v>406.44</v>
      </c>
      <c r="G23" s="9" t="n">
        <v>3577.14</v>
      </c>
      <c r="H23" s="1" t="s">
        <v>17</v>
      </c>
      <c r="I23" s="1" t="s">
        <v>319</v>
      </c>
      <c r="J23" s="8" t="n">
        <f aca="false">YEAR(C23)</f>
        <v>2025</v>
      </c>
      <c r="K23" s="1" t="str">
        <f aca="false">TEXT(C23,"mmm-yyyy")</f>
        <v>Mar-2025</v>
      </c>
      <c r="L23" s="1" t="str">
        <f aca="false">_xlfn.IFS(E23&lt;25,"Young (18-24)",E23&lt;=40,"Adult (25-40)",E23&lt;=60,"Mid-Age (41-60)",TRUE(),"Senior (60+)")</f>
        <v>Mid-Age (41-60)</v>
      </c>
      <c r="M23" s="10" t="n">
        <f aca="false">IF(F23=0,0,ROUND(G23/F23,2))</f>
        <v>8.8</v>
      </c>
      <c r="N23" s="1" t="str">
        <f aca="false">IF(AND(G23&gt;3000,H23="Approved"),"High-Value Approved",IF(OR(H23="Pending",H23="Unknown"),"Needs Review","Normal"))</f>
        <v>High-Value Approved</v>
      </c>
      <c r="O23" s="1" t="str">
        <f aca="false">LEFT(B23,3)</f>
        <v>POL</v>
      </c>
      <c r="P23" s="1" t="str">
        <f aca="false">UPPER(D23)</f>
        <v>LIFE</v>
      </c>
      <c r="Q23" s="1" t="n">
        <f aca="true">NETWORKDAYS(C23,TODAY())</f>
        <v>387</v>
      </c>
    </row>
    <row r="24" customFormat="false" ht="15" hidden="false" customHeight="true" outlineLevel="0" collapsed="false">
      <c r="A24" s="1" t="n">
        <v>21</v>
      </c>
      <c r="B24" s="1" t="s">
        <v>36</v>
      </c>
      <c r="C24" s="4" t="n">
        <v>46051</v>
      </c>
      <c r="D24" s="1" t="s">
        <v>19</v>
      </c>
      <c r="E24" s="8" t="n">
        <v>44</v>
      </c>
      <c r="F24" s="9" t="n">
        <v>387.98</v>
      </c>
      <c r="G24" s="9" t="n">
        <v>0</v>
      </c>
      <c r="H24" s="1" t="s">
        <v>10</v>
      </c>
      <c r="I24" s="1" t="s">
        <v>318</v>
      </c>
      <c r="J24" s="8" t="n">
        <f aca="false">YEAR(C24)</f>
        <v>2026</v>
      </c>
      <c r="K24" s="1" t="str">
        <f aca="false">TEXT(C24,"mmm-yyyy")</f>
        <v>Jan-2026</v>
      </c>
      <c r="L24" s="1" t="str">
        <f aca="false">_xlfn.IFS(E24&lt;25,"Young (18-24)",E24&lt;=40,"Adult (25-40)",E24&lt;=60,"Mid-Age (41-60)",TRUE(),"Senior (60+)")</f>
        <v>Mid-Age (41-60)</v>
      </c>
      <c r="M24" s="10" t="n">
        <f aca="false">IF(F24=0,0,ROUND(G24/F24,2))</f>
        <v>0</v>
      </c>
      <c r="N24" s="1" t="str">
        <f aca="false">IF(AND(G24&gt;3000,H24="Approved"),"High-Value Approved",IF(OR(H24="Pending",H24="Unknown"),"Needs Review","Normal"))</f>
        <v>Normal</v>
      </c>
      <c r="O24" s="1" t="str">
        <f aca="false">LEFT(B24,3)</f>
        <v>POL</v>
      </c>
      <c r="P24" s="1" t="str">
        <f aca="false">UPPER(D24)</f>
        <v>HEALTH</v>
      </c>
      <c r="Q24" s="1" t="n">
        <f aca="true">NETWORKDAYS(C24,TODAY())</f>
        <v>149</v>
      </c>
    </row>
    <row r="25" customFormat="false" ht="15" hidden="false" customHeight="true" outlineLevel="0" collapsed="false">
      <c r="A25" s="1" t="n">
        <v>22</v>
      </c>
      <c r="B25" s="1" t="s">
        <v>37</v>
      </c>
      <c r="C25" s="4" t="n">
        <v>45837</v>
      </c>
      <c r="D25" s="1" t="s">
        <v>19</v>
      </c>
      <c r="E25" s="8" t="n">
        <v>46</v>
      </c>
      <c r="F25" s="9" t="n">
        <v>415.77</v>
      </c>
      <c r="G25" s="9" t="n">
        <v>0</v>
      </c>
      <c r="H25" s="1" t="s">
        <v>10</v>
      </c>
      <c r="I25" s="1" t="s">
        <v>319</v>
      </c>
      <c r="J25" s="8" t="n">
        <f aca="false">YEAR(C25)</f>
        <v>2025</v>
      </c>
      <c r="K25" s="1" t="str">
        <f aca="false">TEXT(C25,"mmm-yyyy")</f>
        <v>Jun-2025</v>
      </c>
      <c r="L25" s="1" t="str">
        <f aca="false">_xlfn.IFS(E25&lt;25,"Young (18-24)",E25&lt;=40,"Adult (25-40)",E25&lt;=60,"Mid-Age (41-60)",TRUE(),"Senior (60+)")</f>
        <v>Mid-Age (41-60)</v>
      </c>
      <c r="M25" s="10" t="n">
        <f aca="false">IF(F25=0,0,ROUND(G25/F25,2))</f>
        <v>0</v>
      </c>
      <c r="N25" s="1" t="str">
        <f aca="false">IF(AND(G25&gt;3000,H25="Approved"),"High-Value Approved",IF(OR(H25="Pending",H25="Unknown"),"Needs Review","Normal"))</f>
        <v>Normal</v>
      </c>
      <c r="O25" s="1" t="str">
        <f aca="false">LEFT(B25,3)</f>
        <v>POL</v>
      </c>
      <c r="P25" s="1" t="str">
        <f aca="false">UPPER(D25)</f>
        <v>HEALTH</v>
      </c>
      <c r="Q25" s="1" t="n">
        <f aca="true">NETWORKDAYS(C25,TODAY())</f>
        <v>302</v>
      </c>
    </row>
    <row r="26" customFormat="false" ht="15" hidden="false" customHeight="true" outlineLevel="0" collapsed="false">
      <c r="A26" s="1" t="n">
        <v>23</v>
      </c>
      <c r="B26" s="1" t="s">
        <v>39</v>
      </c>
      <c r="C26" s="4" t="n">
        <v>45744</v>
      </c>
      <c r="D26" s="1" t="s">
        <v>40</v>
      </c>
      <c r="E26" s="8" t="n">
        <v>21</v>
      </c>
      <c r="F26" s="9" t="n">
        <v>106.3</v>
      </c>
      <c r="G26" s="9" t="n">
        <v>0</v>
      </c>
      <c r="H26" s="1" t="s">
        <v>10</v>
      </c>
      <c r="I26" s="1" t="s">
        <v>320</v>
      </c>
      <c r="J26" s="8" t="n">
        <f aca="false">YEAR(C26)</f>
        <v>2025</v>
      </c>
      <c r="K26" s="1" t="str">
        <f aca="false">TEXT(C26,"mmm-yyyy")</f>
        <v>Mar-2025</v>
      </c>
      <c r="L26" s="1" t="str">
        <f aca="false">_xlfn.IFS(E26&lt;25,"Young (18-24)",E26&lt;=40,"Adult (25-40)",E26&lt;=60,"Mid-Age (41-60)",TRUE(),"Senior (60+)")</f>
        <v>Young (18-24)</v>
      </c>
      <c r="M26" s="10" t="n">
        <f aca="false">IF(F26=0,0,ROUND(G26/F26,2))</f>
        <v>0</v>
      </c>
      <c r="N26" s="1" t="str">
        <f aca="false">IF(AND(G26&gt;3000,H26="Approved"),"High-Value Approved",IF(OR(H26="Pending",H26="Unknown"),"Needs Review","Normal"))</f>
        <v>Normal</v>
      </c>
      <c r="O26" s="1" t="str">
        <f aca="false">LEFT(B26,3)</f>
        <v>POL</v>
      </c>
      <c r="P26" s="1" t="str">
        <f aca="false">UPPER(D26)</f>
        <v>TRAVEL</v>
      </c>
      <c r="Q26" s="1" t="n">
        <f aca="true">NETWORKDAYS(C26,TODAY())</f>
        <v>368</v>
      </c>
    </row>
    <row r="27" customFormat="false" ht="15" hidden="false" customHeight="true" outlineLevel="0" collapsed="false">
      <c r="A27" s="1" t="n">
        <v>24</v>
      </c>
      <c r="B27" s="1" t="s">
        <v>41</v>
      </c>
      <c r="C27" s="4" t="n">
        <v>46023</v>
      </c>
      <c r="D27" s="1" t="s">
        <v>19</v>
      </c>
      <c r="E27" s="8" t="n">
        <v>46</v>
      </c>
      <c r="F27" s="9" t="n">
        <v>295.78</v>
      </c>
      <c r="G27" s="9" t="n">
        <v>0</v>
      </c>
      <c r="H27" s="1" t="s">
        <v>10</v>
      </c>
      <c r="I27" s="1" t="s">
        <v>319</v>
      </c>
      <c r="J27" s="8" t="n">
        <f aca="false">YEAR(C27)</f>
        <v>2026</v>
      </c>
      <c r="K27" s="1" t="str">
        <f aca="false">TEXT(C27,"mmm-yyyy")</f>
        <v>Jan-2026</v>
      </c>
      <c r="L27" s="1" t="str">
        <f aca="false">_xlfn.IFS(E27&lt;25,"Young (18-24)",E27&lt;=40,"Adult (25-40)",E27&lt;=60,"Mid-Age (41-60)",TRUE(),"Senior (60+)")</f>
        <v>Mid-Age (41-60)</v>
      </c>
      <c r="M27" s="10" t="n">
        <f aca="false">IF(F27=0,0,ROUND(G27/F27,2))</f>
        <v>0</v>
      </c>
      <c r="N27" s="1" t="str">
        <f aca="false">IF(AND(G27&gt;3000,H27="Approved"),"High-Value Approved",IF(OR(H27="Pending",H27="Unknown"),"Needs Review","Normal"))</f>
        <v>Normal</v>
      </c>
      <c r="O27" s="1" t="str">
        <f aca="false">LEFT(B27,3)</f>
        <v>POL</v>
      </c>
      <c r="P27" s="1" t="str">
        <f aca="false">UPPER(D27)</f>
        <v>HEALTH</v>
      </c>
      <c r="Q27" s="1" t="n">
        <f aca="true">NETWORKDAYS(C27,TODAY())</f>
        <v>169</v>
      </c>
    </row>
    <row r="28" customFormat="false" ht="15" hidden="false" customHeight="true" outlineLevel="0" collapsed="false">
      <c r="A28" s="1" t="n">
        <v>25</v>
      </c>
      <c r="B28" s="1" t="s">
        <v>42</v>
      </c>
      <c r="C28" s="4" t="n">
        <v>45939</v>
      </c>
      <c r="D28" s="1" t="s">
        <v>16</v>
      </c>
      <c r="E28" s="8" t="n">
        <v>78</v>
      </c>
      <c r="F28" s="9" t="n">
        <v>544.99</v>
      </c>
      <c r="G28" s="9" t="n">
        <v>4764.98</v>
      </c>
      <c r="H28" s="1" t="s">
        <v>17</v>
      </c>
      <c r="I28" s="1" t="s">
        <v>316</v>
      </c>
      <c r="J28" s="8" t="n">
        <f aca="false">YEAR(C28)</f>
        <v>2025</v>
      </c>
      <c r="K28" s="1" t="str">
        <f aca="false">TEXT(C28,"mmm-yyyy")</f>
        <v>Oct-2025</v>
      </c>
      <c r="L28" s="1" t="str">
        <f aca="false">_xlfn.IFS(E28&lt;25,"Young (18-24)",E28&lt;=40,"Adult (25-40)",E28&lt;=60,"Mid-Age (41-60)",TRUE(),"Senior (60+)")</f>
        <v>Senior (60+)</v>
      </c>
      <c r="M28" s="10" t="n">
        <f aca="false">IF(F28=0,0,ROUND(G28/F28,2))</f>
        <v>8.74</v>
      </c>
      <c r="N28" s="1" t="str">
        <f aca="false">IF(AND(G28&gt;3000,H28="Approved"),"High-Value Approved",IF(OR(H28="Pending",H28="Unknown"),"Needs Review","Normal"))</f>
        <v>High-Value Approved</v>
      </c>
      <c r="O28" s="1" t="str">
        <f aca="false">LEFT(B28,3)</f>
        <v>POL</v>
      </c>
      <c r="P28" s="1" t="str">
        <f aca="false">UPPER(D28)</f>
        <v>PROPERTY</v>
      </c>
      <c r="Q28" s="1" t="n">
        <f aca="true">NETWORKDAYS(C28,TODAY())</f>
        <v>229</v>
      </c>
    </row>
    <row r="29" customFormat="false" ht="15" hidden="false" customHeight="true" outlineLevel="0" collapsed="false">
      <c r="A29" s="1" t="n">
        <v>26</v>
      </c>
      <c r="B29" s="1" t="s">
        <v>43</v>
      </c>
      <c r="C29" s="4" t="n">
        <v>45779</v>
      </c>
      <c r="D29" s="1" t="s">
        <v>9</v>
      </c>
      <c r="E29" s="8" t="n">
        <v>26</v>
      </c>
      <c r="F29" s="9" t="n">
        <v>520.04</v>
      </c>
      <c r="G29" s="9" t="n">
        <v>0</v>
      </c>
      <c r="H29" s="1" t="s">
        <v>10</v>
      </c>
      <c r="I29" s="1" t="s">
        <v>318</v>
      </c>
      <c r="J29" s="8" t="n">
        <f aca="false">YEAR(C29)</f>
        <v>2025</v>
      </c>
      <c r="K29" s="1" t="str">
        <f aca="false">TEXT(C29,"mmm-yyyy")</f>
        <v>May-2025</v>
      </c>
      <c r="L29" s="1" t="str">
        <f aca="false">_xlfn.IFS(E29&lt;25,"Young (18-24)",E29&lt;=40,"Adult (25-40)",E29&lt;=60,"Mid-Age (41-60)",TRUE(),"Senior (60+)")</f>
        <v>Adult (25-40)</v>
      </c>
      <c r="M29" s="10" t="n">
        <f aca="false">IF(F29=0,0,ROUND(G29/F29,2))</f>
        <v>0</v>
      </c>
      <c r="N29" s="1" t="str">
        <f aca="false">IF(AND(G29&gt;3000,H29="Approved"),"High-Value Approved",IF(OR(H29="Pending",H29="Unknown"),"Needs Review","Normal"))</f>
        <v>Normal</v>
      </c>
      <c r="O29" s="1" t="str">
        <f aca="false">LEFT(B29,3)</f>
        <v>POL</v>
      </c>
      <c r="P29" s="1" t="str">
        <f aca="false">UPPER(D29)</f>
        <v>LIFE</v>
      </c>
      <c r="Q29" s="1" t="n">
        <f aca="true">NETWORKDAYS(C29,TODAY())</f>
        <v>343</v>
      </c>
    </row>
    <row r="30" customFormat="false" ht="15" hidden="false" customHeight="true" outlineLevel="0" collapsed="false">
      <c r="A30" s="1" t="n">
        <v>27</v>
      </c>
      <c r="B30" s="1" t="s">
        <v>44</v>
      </c>
      <c r="C30" s="4" t="n">
        <v>46163</v>
      </c>
      <c r="D30" s="1" t="s">
        <v>16</v>
      </c>
      <c r="E30" s="8" t="n">
        <v>32</v>
      </c>
      <c r="F30" s="9" t="n">
        <v>474.45</v>
      </c>
      <c r="G30" s="9" t="n">
        <v>0</v>
      </c>
      <c r="H30" s="1" t="s">
        <v>10</v>
      </c>
      <c r="I30" s="1" t="s">
        <v>318</v>
      </c>
      <c r="J30" s="8" t="n">
        <f aca="false">YEAR(C30)</f>
        <v>2026</v>
      </c>
      <c r="K30" s="1" t="str">
        <f aca="false">TEXT(C30,"mmm-yyyy")</f>
        <v>May-2026</v>
      </c>
      <c r="L30" s="1" t="str">
        <f aca="false">_xlfn.IFS(E30&lt;25,"Young (18-24)",E30&lt;=40,"Adult (25-40)",E30&lt;=60,"Mid-Age (41-60)",TRUE(),"Senior (60+)")</f>
        <v>Adult (25-40)</v>
      </c>
      <c r="M30" s="10" t="n">
        <f aca="false">IF(F30=0,0,ROUND(G30/F30,2))</f>
        <v>0</v>
      </c>
      <c r="N30" s="1" t="str">
        <f aca="false">IF(AND(G30&gt;3000,H30="Approved"),"High-Value Approved",IF(OR(H30="Pending",H30="Unknown"),"Needs Review","Normal"))</f>
        <v>Normal</v>
      </c>
      <c r="O30" s="1" t="str">
        <f aca="false">LEFT(B30,3)</f>
        <v>POL</v>
      </c>
      <c r="P30" s="1" t="str">
        <f aca="false">UPPER(D30)</f>
        <v>PROPERTY</v>
      </c>
      <c r="Q30" s="1" t="n">
        <f aca="true">NETWORKDAYS(C30,TODAY())</f>
        <v>69</v>
      </c>
    </row>
    <row r="31" customFormat="false" ht="15" hidden="false" customHeight="true" outlineLevel="0" collapsed="false">
      <c r="A31" s="1" t="n">
        <v>28</v>
      </c>
      <c r="B31" s="1" t="s">
        <v>45</v>
      </c>
      <c r="C31" s="4" t="n">
        <v>46181</v>
      </c>
      <c r="D31" s="1" t="s">
        <v>9</v>
      </c>
      <c r="E31" s="8" t="n">
        <v>30</v>
      </c>
      <c r="F31" s="9" t="n">
        <v>330.06</v>
      </c>
      <c r="G31" s="9" t="n">
        <v>4200.25</v>
      </c>
      <c r="H31" s="1" t="s">
        <v>30</v>
      </c>
      <c r="I31" s="1" t="s">
        <v>318</v>
      </c>
      <c r="J31" s="8" t="n">
        <f aca="false">YEAR(C31)</f>
        <v>2026</v>
      </c>
      <c r="K31" s="1" t="str">
        <f aca="false">TEXT(C31,"mmm-yyyy")</f>
        <v>Jun-2026</v>
      </c>
      <c r="L31" s="1" t="str">
        <f aca="false">_xlfn.IFS(E31&lt;25,"Young (18-24)",E31&lt;=40,"Adult (25-40)",E31&lt;=60,"Mid-Age (41-60)",TRUE(),"Senior (60+)")</f>
        <v>Adult (25-40)</v>
      </c>
      <c r="M31" s="10" t="n">
        <f aca="false">IF(F31=0,0,ROUND(G31/F31,2))</f>
        <v>12.73</v>
      </c>
      <c r="N31" s="1" t="str">
        <f aca="false">IF(AND(G31&gt;3000,H31="Approved"),"High-Value Approved",IF(OR(H31="Pending",H31="Unknown"),"Needs Review","Normal"))</f>
        <v>Normal</v>
      </c>
      <c r="O31" s="1" t="str">
        <f aca="false">LEFT(B31,3)</f>
        <v>POL</v>
      </c>
      <c r="P31" s="1" t="str">
        <f aca="false">UPPER(D31)</f>
        <v>LIFE</v>
      </c>
      <c r="Q31" s="1" t="n">
        <f aca="true">NETWORKDAYS(C31,TODAY())</f>
        <v>57</v>
      </c>
    </row>
    <row r="32" customFormat="false" ht="15" hidden="false" customHeight="true" outlineLevel="0" collapsed="false">
      <c r="A32" s="1" t="n">
        <v>29</v>
      </c>
      <c r="B32" s="1" t="s">
        <v>46</v>
      </c>
      <c r="C32" s="4" t="n">
        <v>45669</v>
      </c>
      <c r="D32" s="1" t="s">
        <v>12</v>
      </c>
      <c r="E32" s="8" t="n">
        <v>35</v>
      </c>
      <c r="F32" s="9" t="n">
        <v>349.9</v>
      </c>
      <c r="G32" s="9" t="n">
        <v>2428.09</v>
      </c>
      <c r="H32" s="1" t="s">
        <v>30</v>
      </c>
      <c r="I32" s="1" t="s">
        <v>318</v>
      </c>
      <c r="J32" s="8" t="n">
        <f aca="false">YEAR(C32)</f>
        <v>2025</v>
      </c>
      <c r="K32" s="1" t="str">
        <f aca="false">TEXT(C32,"mmm-yyyy")</f>
        <v>Jan-2025</v>
      </c>
      <c r="L32" s="1" t="str">
        <f aca="false">_xlfn.IFS(E32&lt;25,"Young (18-24)",E32&lt;=40,"Adult (25-40)",E32&lt;=60,"Mid-Age (41-60)",TRUE(),"Senior (60+)")</f>
        <v>Adult (25-40)</v>
      </c>
      <c r="M32" s="10" t="n">
        <f aca="false">IF(F32=0,0,ROUND(G32/F32,2))</f>
        <v>6.94</v>
      </c>
      <c r="N32" s="1" t="str">
        <f aca="false">IF(AND(G32&gt;3000,H32="Approved"),"High-Value Approved",IF(OR(H32="Pending",H32="Unknown"),"Needs Review","Normal"))</f>
        <v>Normal</v>
      </c>
      <c r="O32" s="1" t="str">
        <f aca="false">LEFT(B32,3)</f>
        <v>POL</v>
      </c>
      <c r="P32" s="1" t="str">
        <f aca="false">UPPER(D32)</f>
        <v>MOTOR</v>
      </c>
      <c r="Q32" s="1" t="n">
        <f aca="true">NETWORKDAYS(C32,TODAY())</f>
        <v>422</v>
      </c>
    </row>
    <row r="33" customFormat="false" ht="15" hidden="false" customHeight="true" outlineLevel="0" collapsed="false">
      <c r="A33" s="1" t="n">
        <v>30</v>
      </c>
      <c r="B33" s="1" t="s">
        <v>47</v>
      </c>
      <c r="C33" s="4" t="n">
        <v>46213</v>
      </c>
      <c r="D33" s="1" t="s">
        <v>19</v>
      </c>
      <c r="E33" s="8" t="n">
        <v>32</v>
      </c>
      <c r="F33" s="9" t="n">
        <v>406.97</v>
      </c>
      <c r="G33" s="9" t="n">
        <v>2363.82</v>
      </c>
      <c r="H33" s="1" t="s">
        <v>17</v>
      </c>
      <c r="I33" s="1" t="s">
        <v>318</v>
      </c>
      <c r="J33" s="8" t="n">
        <f aca="false">YEAR(C33)</f>
        <v>2026</v>
      </c>
      <c r="K33" s="1" t="str">
        <f aca="false">TEXT(C33,"mmm-yyyy")</f>
        <v>Jul-2026</v>
      </c>
      <c r="L33" s="1" t="str">
        <f aca="false">_xlfn.IFS(E33&lt;25,"Young (18-24)",E33&lt;=40,"Adult (25-40)",E33&lt;=60,"Mid-Age (41-60)",TRUE(),"Senior (60+)")</f>
        <v>Adult (25-40)</v>
      </c>
      <c r="M33" s="10" t="n">
        <f aca="false">IF(F33=0,0,ROUND(G33/F33,2))</f>
        <v>5.81</v>
      </c>
      <c r="N33" s="1" t="str">
        <f aca="false">IF(AND(G33&gt;3000,H33="Approved"),"High-Value Approved",IF(OR(H33="Pending",H33="Unknown"),"Needs Review","Normal"))</f>
        <v>Normal</v>
      </c>
      <c r="O33" s="1" t="str">
        <f aca="false">LEFT(B33,3)</f>
        <v>POL</v>
      </c>
      <c r="P33" s="1" t="str">
        <f aca="false">UPPER(D33)</f>
        <v>HEALTH</v>
      </c>
      <c r="Q33" s="1" t="n">
        <f aca="true">NETWORKDAYS(C33,TODAY())</f>
        <v>33</v>
      </c>
    </row>
    <row r="34" customFormat="false" ht="15" hidden="false" customHeight="true" outlineLevel="0" collapsed="false">
      <c r="A34" s="1" t="n">
        <v>31</v>
      </c>
      <c r="B34" s="1" t="s">
        <v>48</v>
      </c>
      <c r="C34" s="4" t="n">
        <v>45775</v>
      </c>
      <c r="D34" s="1" t="s">
        <v>9</v>
      </c>
      <c r="E34" s="8" t="n">
        <v>79</v>
      </c>
      <c r="F34" s="9" t="n">
        <v>443.35</v>
      </c>
      <c r="G34" s="9" t="n">
        <v>2545.82</v>
      </c>
      <c r="H34" s="1" t="s">
        <v>30</v>
      </c>
      <c r="I34" s="1" t="s">
        <v>318</v>
      </c>
      <c r="J34" s="8" t="n">
        <f aca="false">YEAR(C34)</f>
        <v>2025</v>
      </c>
      <c r="K34" s="1" t="str">
        <f aca="false">TEXT(C34,"mmm-yyyy")</f>
        <v>Apr-2025</v>
      </c>
      <c r="L34" s="1" t="str">
        <f aca="false">_xlfn.IFS(E34&lt;25,"Young (18-24)",E34&lt;=40,"Adult (25-40)",E34&lt;=60,"Mid-Age (41-60)",TRUE(),"Senior (60+)")</f>
        <v>Senior (60+)</v>
      </c>
      <c r="M34" s="10" t="n">
        <f aca="false">IF(F34=0,0,ROUND(G34/F34,2))</f>
        <v>5.74</v>
      </c>
      <c r="N34" s="1" t="str">
        <f aca="false">IF(AND(G34&gt;3000,H34="Approved"),"High-Value Approved",IF(OR(H34="Pending",H34="Unknown"),"Needs Review","Normal"))</f>
        <v>Normal</v>
      </c>
      <c r="O34" s="1" t="str">
        <f aca="false">LEFT(B34,3)</f>
        <v>POL</v>
      </c>
      <c r="P34" s="1" t="str">
        <f aca="false">UPPER(D34)</f>
        <v>LIFE</v>
      </c>
      <c r="Q34" s="1" t="n">
        <f aca="true">NETWORKDAYS(C34,TODAY())</f>
        <v>347</v>
      </c>
    </row>
    <row r="35" customFormat="false" ht="15" hidden="false" customHeight="true" outlineLevel="0" collapsed="false">
      <c r="A35" s="1" t="n">
        <v>32</v>
      </c>
      <c r="B35" s="1" t="s">
        <v>49</v>
      </c>
      <c r="C35" s="4" t="n">
        <v>46081</v>
      </c>
      <c r="D35" s="1" t="s">
        <v>9</v>
      </c>
      <c r="E35" s="8" t="n">
        <v>64</v>
      </c>
      <c r="F35" s="9" t="n">
        <v>368.33</v>
      </c>
      <c r="G35" s="9" t="n">
        <v>3048.84</v>
      </c>
      <c r="H35" s="1" t="s">
        <v>17</v>
      </c>
      <c r="I35" s="1" t="s">
        <v>318</v>
      </c>
      <c r="J35" s="8" t="n">
        <f aca="false">YEAR(C35)</f>
        <v>2026</v>
      </c>
      <c r="K35" s="1" t="str">
        <f aca="false">TEXT(C35,"mmm-yyyy")</f>
        <v>Feb-2026</v>
      </c>
      <c r="L35" s="1" t="str">
        <f aca="false">_xlfn.IFS(E35&lt;25,"Young (18-24)",E35&lt;=40,"Adult (25-40)",E35&lt;=60,"Mid-Age (41-60)",TRUE(),"Senior (60+)")</f>
        <v>Senior (60+)</v>
      </c>
      <c r="M35" s="10" t="n">
        <f aca="false">IF(F35=0,0,ROUND(G35/F35,2))</f>
        <v>8.28</v>
      </c>
      <c r="N35" s="1" t="str">
        <f aca="false">IF(AND(G35&gt;3000,H35="Approved"),"High-Value Approved",IF(OR(H35="Pending",H35="Unknown"),"Needs Review","Normal"))</f>
        <v>High-Value Approved</v>
      </c>
      <c r="O35" s="1" t="str">
        <f aca="false">LEFT(B35,3)</f>
        <v>POL</v>
      </c>
      <c r="P35" s="1" t="str">
        <f aca="false">UPPER(D35)</f>
        <v>LIFE</v>
      </c>
      <c r="Q35" s="1" t="n">
        <f aca="true">NETWORKDAYS(C35,TODAY())</f>
        <v>127</v>
      </c>
    </row>
    <row r="36" customFormat="false" ht="15" hidden="false" customHeight="true" outlineLevel="0" collapsed="false">
      <c r="A36" s="1" t="n">
        <v>33</v>
      </c>
      <c r="B36" s="1" t="s">
        <v>50</v>
      </c>
      <c r="C36" s="4" t="n">
        <v>45688</v>
      </c>
      <c r="D36" s="1" t="s">
        <v>9</v>
      </c>
      <c r="E36" s="8" t="n">
        <v>51</v>
      </c>
      <c r="F36" s="9" t="n">
        <v>426.82</v>
      </c>
      <c r="G36" s="9" t="n">
        <v>0</v>
      </c>
      <c r="H36" s="1" t="s">
        <v>10</v>
      </c>
      <c r="I36" s="1" t="s">
        <v>318</v>
      </c>
      <c r="J36" s="8" t="n">
        <f aca="false">YEAR(C36)</f>
        <v>2025</v>
      </c>
      <c r="K36" s="1" t="str">
        <f aca="false">TEXT(C36,"mmm-yyyy")</f>
        <v>Jan-2025</v>
      </c>
      <c r="L36" s="1" t="str">
        <f aca="false">_xlfn.IFS(E36&lt;25,"Young (18-24)",E36&lt;=40,"Adult (25-40)",E36&lt;=60,"Mid-Age (41-60)",TRUE(),"Senior (60+)")</f>
        <v>Mid-Age (41-60)</v>
      </c>
      <c r="M36" s="10" t="n">
        <f aca="false">IF(F36=0,0,ROUND(G36/F36,2))</f>
        <v>0</v>
      </c>
      <c r="N36" s="1" t="str">
        <f aca="false">IF(AND(G36&gt;3000,H36="Approved"),"High-Value Approved",IF(OR(H36="Pending",H36="Unknown"),"Needs Review","Normal"))</f>
        <v>Normal</v>
      </c>
      <c r="O36" s="1" t="str">
        <f aca="false">LEFT(B36,3)</f>
        <v>POL</v>
      </c>
      <c r="P36" s="1" t="str">
        <f aca="false">UPPER(D36)</f>
        <v>LIFE</v>
      </c>
      <c r="Q36" s="1" t="n">
        <f aca="true">NETWORKDAYS(C36,TODAY())</f>
        <v>408</v>
      </c>
    </row>
    <row r="37" customFormat="false" ht="15" hidden="false" customHeight="true" outlineLevel="0" collapsed="false">
      <c r="A37" s="1" t="n">
        <v>34</v>
      </c>
      <c r="B37" s="1" t="s">
        <v>51</v>
      </c>
      <c r="C37" s="4" t="n">
        <v>45853</v>
      </c>
      <c r="D37" s="1" t="s">
        <v>12</v>
      </c>
      <c r="E37" s="8" t="n">
        <v>49</v>
      </c>
      <c r="F37" s="9" t="n">
        <v>315.51</v>
      </c>
      <c r="G37" s="9" t="n">
        <v>0</v>
      </c>
      <c r="H37" s="1" t="s">
        <v>10</v>
      </c>
      <c r="I37" s="1" t="s">
        <v>318</v>
      </c>
      <c r="J37" s="8" t="n">
        <f aca="false">YEAR(C37)</f>
        <v>2025</v>
      </c>
      <c r="K37" s="1" t="str">
        <f aca="false">TEXT(C37,"mmm-yyyy")</f>
        <v>Jul-2025</v>
      </c>
      <c r="L37" s="1" t="str">
        <f aca="false">_xlfn.IFS(E37&lt;25,"Young (18-24)",E37&lt;=40,"Adult (25-40)",E37&lt;=60,"Mid-Age (41-60)",TRUE(),"Senior (60+)")</f>
        <v>Mid-Age (41-60)</v>
      </c>
      <c r="M37" s="10" t="n">
        <f aca="false">IF(F37=0,0,ROUND(G37/F37,2))</f>
        <v>0</v>
      </c>
      <c r="N37" s="1" t="str">
        <f aca="false">IF(AND(G37&gt;3000,H37="Approved"),"High-Value Approved",IF(OR(H37="Pending",H37="Unknown"),"Needs Review","Normal"))</f>
        <v>Normal</v>
      </c>
      <c r="O37" s="1" t="str">
        <f aca="false">LEFT(B37,3)</f>
        <v>POL</v>
      </c>
      <c r="P37" s="1" t="str">
        <f aca="false">UPPER(D37)</f>
        <v>MOTOR</v>
      </c>
      <c r="Q37" s="1" t="n">
        <f aca="true">NETWORKDAYS(C37,TODAY())</f>
        <v>291</v>
      </c>
    </row>
    <row r="38" customFormat="false" ht="15" hidden="false" customHeight="true" outlineLevel="0" collapsed="false">
      <c r="A38" s="1" t="n">
        <v>35</v>
      </c>
      <c r="B38" s="1" t="s">
        <v>52</v>
      </c>
      <c r="C38" s="4" t="n">
        <v>45964</v>
      </c>
      <c r="D38" s="1" t="s">
        <v>12</v>
      </c>
      <c r="E38" s="8" t="n">
        <v>45</v>
      </c>
      <c r="F38" s="9" t="n">
        <v>281.16</v>
      </c>
      <c r="G38" s="9" t="n">
        <v>1217.39</v>
      </c>
      <c r="H38" s="1" t="s">
        <v>13</v>
      </c>
      <c r="I38" s="1" t="s">
        <v>318</v>
      </c>
      <c r="J38" s="8" t="n">
        <f aca="false">YEAR(C38)</f>
        <v>2025</v>
      </c>
      <c r="K38" s="1" t="str">
        <f aca="false">TEXT(C38,"mmm-yyyy")</f>
        <v>Nov-2025</v>
      </c>
      <c r="L38" s="1" t="str">
        <f aca="false">_xlfn.IFS(E38&lt;25,"Young (18-24)",E38&lt;=40,"Adult (25-40)",E38&lt;=60,"Mid-Age (41-60)",TRUE(),"Senior (60+)")</f>
        <v>Mid-Age (41-60)</v>
      </c>
      <c r="M38" s="10" t="n">
        <f aca="false">IF(F38=0,0,ROUND(G38/F38,2))</f>
        <v>4.33</v>
      </c>
      <c r="N38" s="1" t="str">
        <f aca="false">IF(AND(G38&gt;3000,H38="Approved"),"High-Value Approved",IF(OR(H38="Pending",H38="Unknown"),"Needs Review","Normal"))</f>
        <v>Needs Review</v>
      </c>
      <c r="O38" s="1" t="str">
        <f aca="false">LEFT(B38,3)</f>
        <v>POL</v>
      </c>
      <c r="P38" s="1" t="str">
        <f aca="false">UPPER(D38)</f>
        <v>MOTOR</v>
      </c>
      <c r="Q38" s="1" t="n">
        <f aca="true">NETWORKDAYS(C38,TODAY())</f>
        <v>212</v>
      </c>
    </row>
    <row r="39" customFormat="false" ht="15" hidden="false" customHeight="true" outlineLevel="0" collapsed="false">
      <c r="A39" s="1" t="n">
        <v>36</v>
      </c>
      <c r="B39" s="1" t="s">
        <v>53</v>
      </c>
      <c r="C39" s="4" t="n">
        <v>45981</v>
      </c>
      <c r="D39" s="1" t="s">
        <v>9</v>
      </c>
      <c r="E39" s="8" t="n">
        <v>75</v>
      </c>
      <c r="F39" s="9" t="n">
        <v>405.17</v>
      </c>
      <c r="G39" s="9" t="n">
        <v>2930.07</v>
      </c>
      <c r="H39" s="1" t="s">
        <v>17</v>
      </c>
      <c r="I39" s="1" t="s">
        <v>317</v>
      </c>
      <c r="J39" s="8" t="n">
        <f aca="false">YEAR(C39)</f>
        <v>2025</v>
      </c>
      <c r="K39" s="1" t="str">
        <f aca="false">TEXT(C39,"mmm-yyyy")</f>
        <v>Nov-2025</v>
      </c>
      <c r="L39" s="1" t="str">
        <f aca="false">_xlfn.IFS(E39&lt;25,"Young (18-24)",E39&lt;=40,"Adult (25-40)",E39&lt;=60,"Mid-Age (41-60)",TRUE(),"Senior (60+)")</f>
        <v>Senior (60+)</v>
      </c>
      <c r="M39" s="10" t="n">
        <f aca="false">IF(F39=0,0,ROUND(G39/F39,2))</f>
        <v>7.23</v>
      </c>
      <c r="N39" s="1" t="str">
        <f aca="false">IF(AND(G39&gt;3000,H39="Approved"),"High-Value Approved",IF(OR(H39="Pending",H39="Unknown"),"Needs Review","Normal"))</f>
        <v>Normal</v>
      </c>
      <c r="O39" s="1" t="str">
        <f aca="false">LEFT(B39,3)</f>
        <v>POL</v>
      </c>
      <c r="P39" s="1" t="str">
        <f aca="false">UPPER(D39)</f>
        <v>LIFE</v>
      </c>
      <c r="Q39" s="1" t="n">
        <f aca="true">NETWORKDAYS(C39,TODAY())</f>
        <v>199</v>
      </c>
    </row>
    <row r="40" customFormat="false" ht="15" hidden="false" customHeight="true" outlineLevel="0" collapsed="false">
      <c r="A40" s="1" t="n">
        <v>37</v>
      </c>
      <c r="B40" s="1" t="s">
        <v>54</v>
      </c>
      <c r="C40" s="4" t="n">
        <v>46084</v>
      </c>
      <c r="D40" s="1" t="s">
        <v>19</v>
      </c>
      <c r="E40" s="8" t="n">
        <v>65</v>
      </c>
      <c r="F40" s="9" t="n">
        <v>261.13</v>
      </c>
      <c r="G40" s="9" t="n">
        <v>0</v>
      </c>
      <c r="H40" s="1" t="s">
        <v>38</v>
      </c>
      <c r="I40" s="1" t="s">
        <v>321</v>
      </c>
      <c r="J40" s="8" t="n">
        <f aca="false">YEAR(C40)</f>
        <v>2026</v>
      </c>
      <c r="K40" s="1" t="str">
        <f aca="false">TEXT(C40,"mmm-yyyy")</f>
        <v>Mar-2026</v>
      </c>
      <c r="L40" s="1" t="str">
        <f aca="false">_xlfn.IFS(E40&lt;25,"Young (18-24)",E40&lt;=40,"Adult (25-40)",E40&lt;=60,"Mid-Age (41-60)",TRUE(),"Senior (60+)")</f>
        <v>Senior (60+)</v>
      </c>
      <c r="M40" s="10" t="n">
        <f aca="false">IF(F40=0,0,ROUND(G40/F40,2))</f>
        <v>0</v>
      </c>
      <c r="N40" s="1" t="str">
        <f aca="false">IF(AND(G40&gt;3000,H40="Approved"),"High-Value Approved",IF(OR(H40="Pending",H40="Unknown"),"Needs Review","Normal"))</f>
        <v>Needs Review</v>
      </c>
      <c r="O40" s="1" t="str">
        <f aca="false">LEFT(B40,3)</f>
        <v>POL</v>
      </c>
      <c r="P40" s="1" t="str">
        <f aca="false">UPPER(D40)</f>
        <v>HEALTH</v>
      </c>
      <c r="Q40" s="1" t="n">
        <f aca="true">NETWORKDAYS(C40,TODAY())</f>
        <v>126</v>
      </c>
    </row>
    <row r="41" customFormat="false" ht="15" hidden="false" customHeight="true" outlineLevel="0" collapsed="false">
      <c r="A41" s="1" t="n">
        <v>38</v>
      </c>
      <c r="B41" s="1" t="s">
        <v>55</v>
      </c>
      <c r="C41" s="4" t="n">
        <v>45815</v>
      </c>
      <c r="D41" s="1" t="s">
        <v>12</v>
      </c>
      <c r="E41" s="8" t="n">
        <v>70</v>
      </c>
      <c r="F41" s="9" t="n">
        <v>311.04</v>
      </c>
      <c r="G41" s="9" t="n">
        <v>1604.63</v>
      </c>
      <c r="H41" s="1" t="s">
        <v>17</v>
      </c>
      <c r="I41" s="1" t="s">
        <v>318</v>
      </c>
      <c r="J41" s="8" t="n">
        <f aca="false">YEAR(C41)</f>
        <v>2025</v>
      </c>
      <c r="K41" s="1" t="str">
        <f aca="false">TEXT(C41,"mmm-yyyy")</f>
        <v>Jun-2025</v>
      </c>
      <c r="L41" s="1" t="str">
        <f aca="false">_xlfn.IFS(E41&lt;25,"Young (18-24)",E41&lt;=40,"Adult (25-40)",E41&lt;=60,"Mid-Age (41-60)",TRUE(),"Senior (60+)")</f>
        <v>Senior (60+)</v>
      </c>
      <c r="M41" s="10" t="n">
        <f aca="false">IF(F41=0,0,ROUND(G41/F41,2))</f>
        <v>5.16</v>
      </c>
      <c r="N41" s="1" t="str">
        <f aca="false">IF(AND(G41&gt;3000,H41="Approved"),"High-Value Approved",IF(OR(H41="Pending",H41="Unknown"),"Needs Review","Normal"))</f>
        <v>Normal</v>
      </c>
      <c r="O41" s="1" t="str">
        <f aca="false">LEFT(B41,3)</f>
        <v>POL</v>
      </c>
      <c r="P41" s="1" t="str">
        <f aca="false">UPPER(D41)</f>
        <v>MOTOR</v>
      </c>
      <c r="Q41" s="1" t="n">
        <f aca="true">NETWORKDAYS(C41,TODAY())</f>
        <v>317</v>
      </c>
    </row>
    <row r="42" customFormat="false" ht="15" hidden="false" customHeight="true" outlineLevel="0" collapsed="false">
      <c r="A42" s="1" t="n">
        <v>39</v>
      </c>
      <c r="B42" s="1" t="s">
        <v>56</v>
      </c>
      <c r="C42" s="4" t="n">
        <v>45696</v>
      </c>
      <c r="D42" s="1" t="s">
        <v>12</v>
      </c>
      <c r="E42" s="8" t="n">
        <v>43</v>
      </c>
      <c r="F42" s="9" t="n">
        <v>303.7</v>
      </c>
      <c r="G42" s="9" t="n">
        <v>0</v>
      </c>
      <c r="H42" s="1" t="s">
        <v>10</v>
      </c>
      <c r="I42" s="1" t="s">
        <v>318</v>
      </c>
      <c r="J42" s="8" t="n">
        <f aca="false">YEAR(C42)</f>
        <v>2025</v>
      </c>
      <c r="K42" s="1" t="str">
        <f aca="false">TEXT(C42,"mmm-yyyy")</f>
        <v>Feb-2025</v>
      </c>
      <c r="L42" s="1" t="str">
        <f aca="false">_xlfn.IFS(E42&lt;25,"Young (18-24)",E42&lt;=40,"Adult (25-40)",E42&lt;=60,"Mid-Age (41-60)",TRUE(),"Senior (60+)")</f>
        <v>Mid-Age (41-60)</v>
      </c>
      <c r="M42" s="10" t="n">
        <f aca="false">IF(F42=0,0,ROUND(G42/F42,2))</f>
        <v>0</v>
      </c>
      <c r="N42" s="1" t="str">
        <f aca="false">IF(AND(G42&gt;3000,H42="Approved"),"High-Value Approved",IF(OR(H42="Pending",H42="Unknown"),"Needs Review","Normal"))</f>
        <v>Normal</v>
      </c>
      <c r="O42" s="1" t="str">
        <f aca="false">LEFT(B42,3)</f>
        <v>POL</v>
      </c>
      <c r="P42" s="1" t="str">
        <f aca="false">UPPER(D42)</f>
        <v>MOTOR</v>
      </c>
      <c r="Q42" s="1" t="n">
        <f aca="true">NETWORKDAYS(C42,TODAY())</f>
        <v>402</v>
      </c>
    </row>
    <row r="43" customFormat="false" ht="15" hidden="false" customHeight="true" outlineLevel="0" collapsed="false">
      <c r="A43" s="1" t="n">
        <v>40</v>
      </c>
      <c r="B43" s="1" t="s">
        <v>57</v>
      </c>
      <c r="C43" s="4" t="n">
        <v>45978</v>
      </c>
      <c r="D43" s="1" t="s">
        <v>9</v>
      </c>
      <c r="E43" s="8" t="n">
        <v>66</v>
      </c>
      <c r="F43" s="9" t="n">
        <v>311.29</v>
      </c>
      <c r="G43" s="9" t="n">
        <v>4518.02</v>
      </c>
      <c r="H43" s="1" t="s">
        <v>17</v>
      </c>
      <c r="I43" s="1" t="s">
        <v>318</v>
      </c>
      <c r="J43" s="8" t="n">
        <f aca="false">YEAR(C43)</f>
        <v>2025</v>
      </c>
      <c r="K43" s="1" t="str">
        <f aca="false">TEXT(C43,"mmm-yyyy")</f>
        <v>Nov-2025</v>
      </c>
      <c r="L43" s="1" t="str">
        <f aca="false">_xlfn.IFS(E43&lt;25,"Young (18-24)",E43&lt;=40,"Adult (25-40)",E43&lt;=60,"Mid-Age (41-60)",TRUE(),"Senior (60+)")</f>
        <v>Senior (60+)</v>
      </c>
      <c r="M43" s="10" t="n">
        <f aca="false">IF(F43=0,0,ROUND(G43/F43,2))</f>
        <v>14.51</v>
      </c>
      <c r="N43" s="1" t="str">
        <f aca="false">IF(AND(G43&gt;3000,H43="Approved"),"High-Value Approved",IF(OR(H43="Pending",H43="Unknown"),"Needs Review","Normal"))</f>
        <v>High-Value Approved</v>
      </c>
      <c r="O43" s="1" t="str">
        <f aca="false">LEFT(B43,3)</f>
        <v>POL</v>
      </c>
      <c r="P43" s="1" t="str">
        <f aca="false">UPPER(D43)</f>
        <v>LIFE</v>
      </c>
      <c r="Q43" s="1" t="n">
        <f aca="true">NETWORKDAYS(C43,TODAY())</f>
        <v>202</v>
      </c>
    </row>
    <row r="44" customFormat="false" ht="15" hidden="false" customHeight="true" outlineLevel="0" collapsed="false">
      <c r="A44" s="1" t="n">
        <v>41</v>
      </c>
      <c r="B44" s="1" t="s">
        <v>60</v>
      </c>
      <c r="C44" s="4" t="n">
        <v>46220</v>
      </c>
      <c r="D44" s="1" t="s">
        <v>40</v>
      </c>
      <c r="E44" s="8" t="n">
        <v>54</v>
      </c>
      <c r="F44" s="9" t="n">
        <v>124.69</v>
      </c>
      <c r="G44" s="9" t="n">
        <v>0</v>
      </c>
      <c r="H44" s="1" t="s">
        <v>10</v>
      </c>
      <c r="I44" s="1" t="s">
        <v>318</v>
      </c>
      <c r="J44" s="8" t="n">
        <f aca="false">YEAR(C44)</f>
        <v>2026</v>
      </c>
      <c r="K44" s="1" t="str">
        <f aca="false">TEXT(C44,"mmm-yyyy")</f>
        <v>Jul-2026</v>
      </c>
      <c r="L44" s="1" t="str">
        <f aca="false">_xlfn.IFS(E44&lt;25,"Young (18-24)",E44&lt;=40,"Adult (25-40)",E44&lt;=60,"Mid-Age (41-60)",TRUE(),"Senior (60+)")</f>
        <v>Mid-Age (41-60)</v>
      </c>
      <c r="M44" s="10" t="n">
        <f aca="false">IF(F44=0,0,ROUND(G44/F44,2))</f>
        <v>0</v>
      </c>
      <c r="N44" s="1" t="str">
        <f aca="false">IF(AND(G44&gt;3000,H44="Approved"),"High-Value Approved",IF(OR(H44="Pending",H44="Unknown"),"Needs Review","Normal"))</f>
        <v>Normal</v>
      </c>
      <c r="O44" s="1" t="str">
        <f aca="false">LEFT(B44,3)</f>
        <v>POL</v>
      </c>
      <c r="P44" s="1" t="str">
        <f aca="false">UPPER(D44)</f>
        <v>TRAVEL</v>
      </c>
      <c r="Q44" s="1" t="n">
        <f aca="true">NETWORKDAYS(C44,TODAY())</f>
        <v>28</v>
      </c>
    </row>
    <row r="45" customFormat="false" ht="15" hidden="false" customHeight="true" outlineLevel="0" collapsed="false">
      <c r="A45" s="1" t="n">
        <v>42</v>
      </c>
      <c r="B45" s="1" t="s">
        <v>61</v>
      </c>
      <c r="C45" s="4" t="n">
        <v>46142</v>
      </c>
      <c r="D45" s="1" t="s">
        <v>12</v>
      </c>
      <c r="E45" s="8" t="n">
        <v>26</v>
      </c>
      <c r="F45" s="9" t="n">
        <v>318.96</v>
      </c>
      <c r="G45" s="9" t="n">
        <v>1183.35</v>
      </c>
      <c r="H45" s="1" t="s">
        <v>17</v>
      </c>
      <c r="I45" s="1" t="s">
        <v>318</v>
      </c>
      <c r="J45" s="8" t="n">
        <f aca="false">YEAR(C45)</f>
        <v>2026</v>
      </c>
      <c r="K45" s="1" t="str">
        <f aca="false">TEXT(C45,"mmm-yyyy")</f>
        <v>Apr-2026</v>
      </c>
      <c r="L45" s="1" t="str">
        <f aca="false">_xlfn.IFS(E45&lt;25,"Young (18-24)",E45&lt;=40,"Adult (25-40)",E45&lt;=60,"Mid-Age (41-60)",TRUE(),"Senior (60+)")</f>
        <v>Adult (25-40)</v>
      </c>
      <c r="M45" s="10" t="n">
        <f aca="false">IF(F45=0,0,ROUND(G45/F45,2))</f>
        <v>3.71</v>
      </c>
      <c r="N45" s="1" t="str">
        <f aca="false">IF(AND(G45&gt;3000,H45="Approved"),"High-Value Approved",IF(OR(H45="Pending",H45="Unknown"),"Needs Review","Normal"))</f>
        <v>Normal</v>
      </c>
      <c r="O45" s="1" t="str">
        <f aca="false">LEFT(B45,3)</f>
        <v>POL</v>
      </c>
      <c r="P45" s="1" t="str">
        <f aca="false">UPPER(D45)</f>
        <v>MOTOR</v>
      </c>
      <c r="Q45" s="1" t="n">
        <f aca="true">NETWORKDAYS(C45,TODAY())</f>
        <v>84</v>
      </c>
    </row>
    <row r="46" customFormat="false" ht="15" hidden="false" customHeight="true" outlineLevel="0" collapsed="false">
      <c r="A46" s="1" t="n">
        <v>43</v>
      </c>
      <c r="B46" s="1" t="s">
        <v>62</v>
      </c>
      <c r="C46" s="4" t="n">
        <v>45722</v>
      </c>
      <c r="D46" s="1" t="s">
        <v>12</v>
      </c>
      <c r="E46" s="8" t="n">
        <v>64</v>
      </c>
      <c r="F46" s="9" t="n">
        <v>219.5</v>
      </c>
      <c r="G46" s="9" t="n">
        <v>2386.9</v>
      </c>
      <c r="H46" s="1" t="s">
        <v>13</v>
      </c>
      <c r="I46" s="1" t="s">
        <v>318</v>
      </c>
      <c r="J46" s="8" t="n">
        <f aca="false">YEAR(C46)</f>
        <v>2025</v>
      </c>
      <c r="K46" s="1" t="str">
        <f aca="false">TEXT(C46,"mmm-yyyy")</f>
        <v>Mar-2025</v>
      </c>
      <c r="L46" s="1" t="str">
        <f aca="false">_xlfn.IFS(E46&lt;25,"Young (18-24)",E46&lt;=40,"Adult (25-40)",E46&lt;=60,"Mid-Age (41-60)",TRUE(),"Senior (60+)")</f>
        <v>Senior (60+)</v>
      </c>
      <c r="M46" s="10" t="n">
        <f aca="false">IF(F46=0,0,ROUND(G46/F46,2))</f>
        <v>10.87</v>
      </c>
      <c r="N46" s="1" t="str">
        <f aca="false">IF(AND(G46&gt;3000,H46="Approved"),"High-Value Approved",IF(OR(H46="Pending",H46="Unknown"),"Needs Review","Normal"))</f>
        <v>Needs Review</v>
      </c>
      <c r="O46" s="1" t="str">
        <f aca="false">LEFT(B46,3)</f>
        <v>POL</v>
      </c>
      <c r="P46" s="1" t="str">
        <f aca="false">UPPER(D46)</f>
        <v>MOTOR</v>
      </c>
      <c r="Q46" s="1" t="n">
        <f aca="true">NETWORKDAYS(C46,TODAY())</f>
        <v>384</v>
      </c>
    </row>
    <row r="47" customFormat="false" ht="15" hidden="false" customHeight="true" outlineLevel="0" collapsed="false">
      <c r="A47" s="1" t="n">
        <v>44</v>
      </c>
      <c r="B47" s="1" t="s">
        <v>63</v>
      </c>
      <c r="C47" s="4" t="n">
        <v>45947</v>
      </c>
      <c r="D47" s="1" t="s">
        <v>19</v>
      </c>
      <c r="E47" s="8" t="n">
        <v>63</v>
      </c>
      <c r="F47" s="9" t="n">
        <v>341.88</v>
      </c>
      <c r="G47" s="9" t="n">
        <v>1208.42</v>
      </c>
      <c r="H47" s="1" t="s">
        <v>13</v>
      </c>
      <c r="I47" s="1" t="s">
        <v>320</v>
      </c>
      <c r="J47" s="8" t="n">
        <f aca="false">YEAR(C47)</f>
        <v>2025</v>
      </c>
      <c r="K47" s="1" t="str">
        <f aca="false">TEXT(C47,"mmm-yyyy")</f>
        <v>Oct-2025</v>
      </c>
      <c r="L47" s="1" t="str">
        <f aca="false">_xlfn.IFS(E47&lt;25,"Young (18-24)",E47&lt;=40,"Adult (25-40)",E47&lt;=60,"Mid-Age (41-60)",TRUE(),"Senior (60+)")</f>
        <v>Senior (60+)</v>
      </c>
      <c r="M47" s="10" t="n">
        <f aca="false">IF(F47=0,0,ROUND(G47/F47,2))</f>
        <v>3.53</v>
      </c>
      <c r="N47" s="1" t="str">
        <f aca="false">IF(AND(G47&gt;3000,H47="Approved"),"High-Value Approved",IF(OR(H47="Pending",H47="Unknown"),"Needs Review","Normal"))</f>
        <v>Needs Review</v>
      </c>
      <c r="O47" s="1" t="str">
        <f aca="false">LEFT(B47,3)</f>
        <v>POL</v>
      </c>
      <c r="P47" s="1" t="str">
        <f aca="false">UPPER(D47)</f>
        <v>HEALTH</v>
      </c>
      <c r="Q47" s="1" t="n">
        <f aca="true">NETWORKDAYS(C47,TODAY())</f>
        <v>223</v>
      </c>
    </row>
    <row r="48" customFormat="false" ht="15" hidden="false" customHeight="true" outlineLevel="0" collapsed="false">
      <c r="A48" s="1" t="n">
        <v>45</v>
      </c>
      <c r="B48" s="1" t="s">
        <v>64</v>
      </c>
      <c r="C48" s="4" t="n">
        <v>45866</v>
      </c>
      <c r="D48" s="1" t="s">
        <v>16</v>
      </c>
      <c r="E48" s="8" t="n">
        <v>43</v>
      </c>
      <c r="F48" s="9" t="n">
        <v>367.06</v>
      </c>
      <c r="G48" s="9" t="n">
        <v>2244.89</v>
      </c>
      <c r="H48" s="1" t="s">
        <v>30</v>
      </c>
      <c r="I48" s="1" t="s">
        <v>318</v>
      </c>
      <c r="J48" s="8" t="n">
        <f aca="false">YEAR(C48)</f>
        <v>2025</v>
      </c>
      <c r="K48" s="1" t="str">
        <f aca="false">TEXT(C48,"mmm-yyyy")</f>
        <v>Jul-2025</v>
      </c>
      <c r="L48" s="1" t="str">
        <f aca="false">_xlfn.IFS(E48&lt;25,"Young (18-24)",E48&lt;=40,"Adult (25-40)",E48&lt;=60,"Mid-Age (41-60)",TRUE(),"Senior (60+)")</f>
        <v>Mid-Age (41-60)</v>
      </c>
      <c r="M48" s="10" t="n">
        <f aca="false">IF(F48=0,0,ROUND(G48/F48,2))</f>
        <v>6.12</v>
      </c>
      <c r="N48" s="1" t="str">
        <f aca="false">IF(AND(G48&gt;3000,H48="Approved"),"High-Value Approved",IF(OR(H48="Pending",H48="Unknown"),"Needs Review","Normal"))</f>
        <v>Normal</v>
      </c>
      <c r="O48" s="1" t="str">
        <f aca="false">LEFT(B48,3)</f>
        <v>POL</v>
      </c>
      <c r="P48" s="1" t="str">
        <f aca="false">UPPER(D48)</f>
        <v>PROPERTY</v>
      </c>
      <c r="Q48" s="1" t="n">
        <f aca="true">NETWORKDAYS(C48,TODAY())</f>
        <v>282</v>
      </c>
    </row>
    <row r="49" customFormat="false" ht="15" hidden="false" customHeight="true" outlineLevel="0" collapsed="false">
      <c r="A49" s="1" t="n">
        <v>46</v>
      </c>
      <c r="B49" s="1" t="s">
        <v>65</v>
      </c>
      <c r="C49" s="4" t="n">
        <v>45815</v>
      </c>
      <c r="D49" s="1" t="s">
        <v>12</v>
      </c>
      <c r="E49" s="8" t="n">
        <v>47</v>
      </c>
      <c r="F49" s="9" t="n">
        <v>279.19</v>
      </c>
      <c r="G49" s="9" t="n">
        <v>0</v>
      </c>
      <c r="H49" s="1" t="s">
        <v>10</v>
      </c>
      <c r="I49" s="1" t="s">
        <v>319</v>
      </c>
      <c r="J49" s="8" t="n">
        <f aca="false">YEAR(C49)</f>
        <v>2025</v>
      </c>
      <c r="K49" s="1" t="str">
        <f aca="false">TEXT(C49,"mmm-yyyy")</f>
        <v>Jun-2025</v>
      </c>
      <c r="L49" s="1" t="str">
        <f aca="false">_xlfn.IFS(E49&lt;25,"Young (18-24)",E49&lt;=40,"Adult (25-40)",E49&lt;=60,"Mid-Age (41-60)",TRUE(),"Senior (60+)")</f>
        <v>Mid-Age (41-60)</v>
      </c>
      <c r="M49" s="10" t="n">
        <f aca="false">IF(F49=0,0,ROUND(G49/F49,2))</f>
        <v>0</v>
      </c>
      <c r="N49" s="1" t="str">
        <f aca="false">IF(AND(G49&gt;3000,H49="Approved"),"High-Value Approved",IF(OR(H49="Pending",H49="Unknown"),"Needs Review","Normal"))</f>
        <v>Normal</v>
      </c>
      <c r="O49" s="1" t="str">
        <f aca="false">LEFT(B49,3)</f>
        <v>POL</v>
      </c>
      <c r="P49" s="1" t="str">
        <f aca="false">UPPER(D49)</f>
        <v>MOTOR</v>
      </c>
      <c r="Q49" s="1" t="n">
        <f aca="true">NETWORKDAYS(C49,TODAY())</f>
        <v>317</v>
      </c>
    </row>
    <row r="50" customFormat="false" ht="15" hidden="false" customHeight="true" outlineLevel="0" collapsed="false">
      <c r="A50" s="1" t="n">
        <v>47</v>
      </c>
      <c r="B50" s="1" t="s">
        <v>66</v>
      </c>
      <c r="C50" s="4" t="n">
        <v>46183</v>
      </c>
      <c r="D50" s="1" t="s">
        <v>9</v>
      </c>
      <c r="E50" s="8" t="n">
        <v>73</v>
      </c>
      <c r="F50" s="9" t="n">
        <v>521.43</v>
      </c>
      <c r="G50" s="9" t="n">
        <v>0</v>
      </c>
      <c r="H50" s="1" t="s">
        <v>10</v>
      </c>
      <c r="I50" s="1" t="s">
        <v>318</v>
      </c>
      <c r="J50" s="8" t="n">
        <f aca="false">YEAR(C50)</f>
        <v>2026</v>
      </c>
      <c r="K50" s="1" t="str">
        <f aca="false">TEXT(C50,"mmm-yyyy")</f>
        <v>Jun-2026</v>
      </c>
      <c r="L50" s="1" t="str">
        <f aca="false">_xlfn.IFS(E50&lt;25,"Young (18-24)",E50&lt;=40,"Adult (25-40)",E50&lt;=60,"Mid-Age (41-60)",TRUE(),"Senior (60+)")</f>
        <v>Senior (60+)</v>
      </c>
      <c r="M50" s="10" t="n">
        <f aca="false">IF(F50=0,0,ROUND(G50/F50,2))</f>
        <v>0</v>
      </c>
      <c r="N50" s="1" t="str">
        <f aca="false">IF(AND(G50&gt;3000,H50="Approved"),"High-Value Approved",IF(OR(H50="Pending",H50="Unknown"),"Needs Review","Normal"))</f>
        <v>Normal</v>
      </c>
      <c r="O50" s="1" t="str">
        <f aca="false">LEFT(B50,3)</f>
        <v>POL</v>
      </c>
      <c r="P50" s="1" t="str">
        <f aca="false">UPPER(D50)</f>
        <v>LIFE</v>
      </c>
      <c r="Q50" s="1" t="n">
        <f aca="true">NETWORKDAYS(C50,TODAY())</f>
        <v>55</v>
      </c>
    </row>
    <row r="51" customFormat="false" ht="15" hidden="false" customHeight="true" outlineLevel="0" collapsed="false">
      <c r="A51" s="1" t="n">
        <v>48</v>
      </c>
      <c r="B51" s="1" t="s">
        <v>67</v>
      </c>
      <c r="C51" s="4" t="n">
        <v>46179</v>
      </c>
      <c r="D51" s="1" t="s">
        <v>12</v>
      </c>
      <c r="E51" s="8" t="n">
        <v>38</v>
      </c>
      <c r="F51" s="9" t="n">
        <v>316.9</v>
      </c>
      <c r="G51" s="9" t="n">
        <v>2895.16</v>
      </c>
      <c r="H51" s="1" t="s">
        <v>30</v>
      </c>
      <c r="I51" s="1" t="s">
        <v>318</v>
      </c>
      <c r="J51" s="8" t="n">
        <f aca="false">YEAR(C51)</f>
        <v>2026</v>
      </c>
      <c r="K51" s="1" t="str">
        <f aca="false">TEXT(C51,"mmm-yyyy")</f>
        <v>Jun-2026</v>
      </c>
      <c r="L51" s="1" t="str">
        <f aca="false">_xlfn.IFS(E51&lt;25,"Young (18-24)",E51&lt;=40,"Adult (25-40)",E51&lt;=60,"Mid-Age (41-60)",TRUE(),"Senior (60+)")</f>
        <v>Adult (25-40)</v>
      </c>
      <c r="M51" s="10" t="n">
        <f aca="false">IF(F51=0,0,ROUND(G51/F51,2))</f>
        <v>9.14</v>
      </c>
      <c r="N51" s="1" t="str">
        <f aca="false">IF(AND(G51&gt;3000,H51="Approved"),"High-Value Approved",IF(OR(H51="Pending",H51="Unknown"),"Needs Review","Normal"))</f>
        <v>Normal</v>
      </c>
      <c r="O51" s="1" t="str">
        <f aca="false">LEFT(B51,3)</f>
        <v>POL</v>
      </c>
      <c r="P51" s="1" t="str">
        <f aca="false">UPPER(D51)</f>
        <v>MOTOR</v>
      </c>
      <c r="Q51" s="1" t="n">
        <f aca="true">NETWORKDAYS(C51,TODAY())</f>
        <v>57</v>
      </c>
    </row>
    <row r="52" customFormat="false" ht="15" hidden="false" customHeight="true" outlineLevel="0" collapsed="false">
      <c r="A52" s="1" t="n">
        <v>49</v>
      </c>
      <c r="B52" s="1" t="s">
        <v>68</v>
      </c>
      <c r="C52" s="4" t="n">
        <v>45963</v>
      </c>
      <c r="D52" s="1" t="s">
        <v>40</v>
      </c>
      <c r="E52" s="8" t="n">
        <v>47</v>
      </c>
      <c r="F52" s="9" t="n">
        <v>86.6</v>
      </c>
      <c r="G52" s="9" t="n">
        <v>0</v>
      </c>
      <c r="H52" s="1" t="s">
        <v>10</v>
      </c>
      <c r="I52" s="1" t="s">
        <v>318</v>
      </c>
      <c r="J52" s="8" t="n">
        <f aca="false">YEAR(C52)</f>
        <v>2025</v>
      </c>
      <c r="K52" s="1" t="str">
        <f aca="false">TEXT(C52,"mmm-yyyy")</f>
        <v>Nov-2025</v>
      </c>
      <c r="L52" s="1" t="str">
        <f aca="false">_xlfn.IFS(E52&lt;25,"Young (18-24)",E52&lt;=40,"Adult (25-40)",E52&lt;=60,"Mid-Age (41-60)",TRUE(),"Senior (60+)")</f>
        <v>Mid-Age (41-60)</v>
      </c>
      <c r="M52" s="10" t="n">
        <f aca="false">IF(F52=0,0,ROUND(G52/F52,2))</f>
        <v>0</v>
      </c>
      <c r="N52" s="1" t="str">
        <f aca="false">IF(AND(G52&gt;3000,H52="Approved"),"High-Value Approved",IF(OR(H52="Pending",H52="Unknown"),"Needs Review","Normal"))</f>
        <v>Normal</v>
      </c>
      <c r="O52" s="1" t="str">
        <f aca="false">LEFT(B52,3)</f>
        <v>POL</v>
      </c>
      <c r="P52" s="1" t="str">
        <f aca="false">UPPER(D52)</f>
        <v>TRAVEL</v>
      </c>
      <c r="Q52" s="1" t="n">
        <f aca="true">NETWORKDAYS(C52,TODAY())</f>
        <v>212</v>
      </c>
    </row>
    <row r="53" customFormat="false" ht="15" hidden="false" customHeight="true" outlineLevel="0" collapsed="false">
      <c r="A53" s="1" t="n">
        <v>50</v>
      </c>
      <c r="B53" s="1" t="s">
        <v>69</v>
      </c>
      <c r="C53" s="4" t="n">
        <v>45782</v>
      </c>
      <c r="D53" s="1" t="s">
        <v>12</v>
      </c>
      <c r="E53" s="8" t="n">
        <v>32</v>
      </c>
      <c r="F53" s="9" t="n">
        <v>216.38</v>
      </c>
      <c r="G53" s="9" t="n">
        <v>0</v>
      </c>
      <c r="H53" s="1" t="s">
        <v>10</v>
      </c>
      <c r="I53" s="1" t="s">
        <v>318</v>
      </c>
      <c r="J53" s="8" t="n">
        <f aca="false">YEAR(C53)</f>
        <v>2025</v>
      </c>
      <c r="K53" s="1" t="str">
        <f aca="false">TEXT(C53,"mmm-yyyy")</f>
        <v>May-2025</v>
      </c>
      <c r="L53" s="1" t="str">
        <f aca="false">_xlfn.IFS(E53&lt;25,"Young (18-24)",E53&lt;=40,"Adult (25-40)",E53&lt;=60,"Mid-Age (41-60)",TRUE(),"Senior (60+)")</f>
        <v>Adult (25-40)</v>
      </c>
      <c r="M53" s="10" t="n">
        <f aca="false">IF(F53=0,0,ROUND(G53/F53,2))</f>
        <v>0</v>
      </c>
      <c r="N53" s="1" t="str">
        <f aca="false">IF(AND(G53&gt;3000,H53="Approved"),"High-Value Approved",IF(OR(H53="Pending",H53="Unknown"),"Needs Review","Normal"))</f>
        <v>Normal</v>
      </c>
      <c r="O53" s="1" t="str">
        <f aca="false">LEFT(B53,3)</f>
        <v>POL</v>
      </c>
      <c r="P53" s="1" t="str">
        <f aca="false">UPPER(D53)</f>
        <v>MOTOR</v>
      </c>
      <c r="Q53" s="1" t="n">
        <f aca="true">NETWORKDAYS(C53,TODAY())</f>
        <v>342</v>
      </c>
    </row>
    <row r="54" customFormat="false" ht="15" hidden="false" customHeight="true" outlineLevel="0" collapsed="false">
      <c r="A54" s="1" t="n">
        <v>51</v>
      </c>
      <c r="B54" s="1" t="s">
        <v>70</v>
      </c>
      <c r="C54" s="4" t="n">
        <v>45858</v>
      </c>
      <c r="D54" s="1" t="s">
        <v>12</v>
      </c>
      <c r="E54" s="8" t="n">
        <v>50</v>
      </c>
      <c r="F54" s="9" t="n">
        <v>268.78</v>
      </c>
      <c r="G54" s="9" t="n">
        <v>1721</v>
      </c>
      <c r="H54" s="1" t="s">
        <v>13</v>
      </c>
      <c r="I54" s="1" t="s">
        <v>318</v>
      </c>
      <c r="J54" s="8" t="n">
        <f aca="false">YEAR(C54)</f>
        <v>2025</v>
      </c>
      <c r="K54" s="1" t="str">
        <f aca="false">TEXT(C54,"mmm-yyyy")</f>
        <v>Jul-2025</v>
      </c>
      <c r="L54" s="1" t="str">
        <f aca="false">_xlfn.IFS(E54&lt;25,"Young (18-24)",E54&lt;=40,"Adult (25-40)",E54&lt;=60,"Mid-Age (41-60)",TRUE(),"Senior (60+)")</f>
        <v>Mid-Age (41-60)</v>
      </c>
      <c r="M54" s="10" t="n">
        <f aca="false">IF(F54=0,0,ROUND(G54/F54,2))</f>
        <v>6.4</v>
      </c>
      <c r="N54" s="1" t="str">
        <f aca="false">IF(AND(G54&gt;3000,H54="Approved"),"High-Value Approved",IF(OR(H54="Pending",H54="Unknown"),"Needs Review","Normal"))</f>
        <v>Needs Review</v>
      </c>
      <c r="O54" s="1" t="str">
        <f aca="false">LEFT(B54,3)</f>
        <v>POL</v>
      </c>
      <c r="P54" s="1" t="str">
        <f aca="false">UPPER(D54)</f>
        <v>MOTOR</v>
      </c>
      <c r="Q54" s="1" t="n">
        <f aca="true">NETWORKDAYS(C54,TODAY())</f>
        <v>287</v>
      </c>
    </row>
    <row r="55" customFormat="false" ht="15" hidden="false" customHeight="true" outlineLevel="0" collapsed="false">
      <c r="A55" s="1" t="n">
        <v>52</v>
      </c>
      <c r="B55" s="1" t="s">
        <v>71</v>
      </c>
      <c r="C55" s="4" t="n">
        <v>46219</v>
      </c>
      <c r="D55" s="1" t="s">
        <v>19</v>
      </c>
      <c r="E55" s="8" t="n">
        <v>36</v>
      </c>
      <c r="F55" s="9" t="n">
        <v>381.59</v>
      </c>
      <c r="G55" s="9" t="n">
        <v>0</v>
      </c>
      <c r="H55" s="1" t="s">
        <v>10</v>
      </c>
      <c r="I55" s="1" t="s">
        <v>318</v>
      </c>
      <c r="J55" s="8" t="n">
        <f aca="false">YEAR(C55)</f>
        <v>2026</v>
      </c>
      <c r="K55" s="1" t="str">
        <f aca="false">TEXT(C55,"mmm-yyyy")</f>
        <v>Jul-2026</v>
      </c>
      <c r="L55" s="1" t="str">
        <f aca="false">_xlfn.IFS(E55&lt;25,"Young (18-24)",E55&lt;=40,"Adult (25-40)",E55&lt;=60,"Mid-Age (41-60)",TRUE(),"Senior (60+)")</f>
        <v>Adult (25-40)</v>
      </c>
      <c r="M55" s="10" t="n">
        <f aca="false">IF(F55=0,0,ROUND(G55/F55,2))</f>
        <v>0</v>
      </c>
      <c r="N55" s="1" t="str">
        <f aca="false">IF(AND(G55&gt;3000,H55="Approved"),"High-Value Approved",IF(OR(H55="Pending",H55="Unknown"),"Needs Review","Normal"))</f>
        <v>Normal</v>
      </c>
      <c r="O55" s="1" t="str">
        <f aca="false">LEFT(B55,3)</f>
        <v>POL</v>
      </c>
      <c r="P55" s="1" t="str">
        <f aca="false">UPPER(D55)</f>
        <v>HEALTH</v>
      </c>
      <c r="Q55" s="1" t="n">
        <f aca="true">NETWORKDAYS(C55,TODAY())</f>
        <v>29</v>
      </c>
    </row>
    <row r="56" customFormat="false" ht="15" hidden="false" customHeight="true" outlineLevel="0" collapsed="false">
      <c r="A56" s="1" t="n">
        <v>53</v>
      </c>
      <c r="B56" s="1" t="s">
        <v>72</v>
      </c>
      <c r="C56" s="4" t="n">
        <v>45854</v>
      </c>
      <c r="D56" s="1" t="s">
        <v>19</v>
      </c>
      <c r="E56" s="8" t="n">
        <v>40</v>
      </c>
      <c r="F56" s="9" t="n">
        <v>341.88</v>
      </c>
      <c r="G56" s="9" t="n">
        <v>3273.23</v>
      </c>
      <c r="H56" s="1" t="s">
        <v>17</v>
      </c>
      <c r="I56" s="1" t="s">
        <v>320</v>
      </c>
      <c r="J56" s="8" t="n">
        <f aca="false">YEAR(C56)</f>
        <v>2025</v>
      </c>
      <c r="K56" s="1" t="str">
        <f aca="false">TEXT(C56,"mmm-yyyy")</f>
        <v>Jul-2025</v>
      </c>
      <c r="L56" s="1" t="str">
        <f aca="false">_xlfn.IFS(E56&lt;25,"Young (18-24)",E56&lt;=40,"Adult (25-40)",E56&lt;=60,"Mid-Age (41-60)",TRUE(),"Senior (60+)")</f>
        <v>Adult (25-40)</v>
      </c>
      <c r="M56" s="10" t="n">
        <f aca="false">IF(F56=0,0,ROUND(G56/F56,2))</f>
        <v>9.57</v>
      </c>
      <c r="N56" s="1" t="str">
        <f aca="false">IF(AND(G56&gt;3000,H56="Approved"),"High-Value Approved",IF(OR(H56="Pending",H56="Unknown"),"Needs Review","Normal"))</f>
        <v>High-Value Approved</v>
      </c>
      <c r="O56" s="1" t="str">
        <f aca="false">LEFT(B56,3)</f>
        <v>POL</v>
      </c>
      <c r="P56" s="1" t="str">
        <f aca="false">UPPER(D56)</f>
        <v>HEALTH</v>
      </c>
      <c r="Q56" s="1" t="n">
        <f aca="true">NETWORKDAYS(C56,TODAY())</f>
        <v>290</v>
      </c>
    </row>
    <row r="57" customFormat="false" ht="15" hidden="false" customHeight="true" outlineLevel="0" collapsed="false">
      <c r="A57" s="1" t="n">
        <v>54</v>
      </c>
      <c r="B57" s="1" t="s">
        <v>73</v>
      </c>
      <c r="C57" s="4" t="n">
        <v>45837</v>
      </c>
      <c r="D57" s="1" t="s">
        <v>19</v>
      </c>
      <c r="E57" s="8" t="n">
        <v>24</v>
      </c>
      <c r="F57" s="9" t="n">
        <v>319.16</v>
      </c>
      <c r="G57" s="9" t="n">
        <v>0</v>
      </c>
      <c r="H57" s="1" t="s">
        <v>10</v>
      </c>
      <c r="I57" s="1" t="s">
        <v>322</v>
      </c>
      <c r="J57" s="8" t="n">
        <f aca="false">YEAR(C57)</f>
        <v>2025</v>
      </c>
      <c r="K57" s="1" t="str">
        <f aca="false">TEXT(C57,"mmm-yyyy")</f>
        <v>Jun-2025</v>
      </c>
      <c r="L57" s="1" t="str">
        <f aca="false">_xlfn.IFS(E57&lt;25,"Young (18-24)",E57&lt;=40,"Adult (25-40)",E57&lt;=60,"Mid-Age (41-60)",TRUE(),"Senior (60+)")</f>
        <v>Young (18-24)</v>
      </c>
      <c r="M57" s="10" t="n">
        <f aca="false">IF(F57=0,0,ROUND(G57/F57,2))</f>
        <v>0</v>
      </c>
      <c r="N57" s="1" t="str">
        <f aca="false">IF(AND(G57&gt;3000,H57="Approved"),"High-Value Approved",IF(OR(H57="Pending",H57="Unknown"),"Needs Review","Normal"))</f>
        <v>Normal</v>
      </c>
      <c r="O57" s="1" t="str">
        <f aca="false">LEFT(B57,3)</f>
        <v>POL</v>
      </c>
      <c r="P57" s="1" t="str">
        <f aca="false">UPPER(D57)</f>
        <v>HEALTH</v>
      </c>
      <c r="Q57" s="1" t="n">
        <f aca="true">NETWORKDAYS(C57,TODAY())</f>
        <v>302</v>
      </c>
    </row>
    <row r="58" customFormat="false" ht="15" hidden="false" customHeight="true" outlineLevel="0" collapsed="false">
      <c r="A58" s="1" t="n">
        <v>55</v>
      </c>
      <c r="B58" s="1" t="s">
        <v>74</v>
      </c>
      <c r="C58" s="4" t="n">
        <v>46169</v>
      </c>
      <c r="D58" s="1" t="s">
        <v>16</v>
      </c>
      <c r="E58" s="8" t="n">
        <v>68</v>
      </c>
      <c r="F58" s="9" t="n">
        <v>389.3</v>
      </c>
      <c r="G58" s="9" t="n">
        <v>3463.86</v>
      </c>
      <c r="H58" s="1" t="s">
        <v>13</v>
      </c>
      <c r="I58" s="1" t="s">
        <v>318</v>
      </c>
      <c r="J58" s="8" t="n">
        <f aca="false">YEAR(C58)</f>
        <v>2026</v>
      </c>
      <c r="K58" s="1" t="str">
        <f aca="false">TEXT(C58,"mmm-yyyy")</f>
        <v>May-2026</v>
      </c>
      <c r="L58" s="1" t="str">
        <f aca="false">_xlfn.IFS(E58&lt;25,"Young (18-24)",E58&lt;=40,"Adult (25-40)",E58&lt;=60,"Mid-Age (41-60)",TRUE(),"Senior (60+)")</f>
        <v>Senior (60+)</v>
      </c>
      <c r="M58" s="10" t="n">
        <f aca="false">IF(F58=0,0,ROUND(G58/F58,2))</f>
        <v>8.9</v>
      </c>
      <c r="N58" s="1" t="str">
        <f aca="false">IF(AND(G58&gt;3000,H58="Approved"),"High-Value Approved",IF(OR(H58="Pending",H58="Unknown"),"Needs Review","Normal"))</f>
        <v>Needs Review</v>
      </c>
      <c r="O58" s="1" t="str">
        <f aca="false">LEFT(B58,3)</f>
        <v>POL</v>
      </c>
      <c r="P58" s="1" t="str">
        <f aca="false">UPPER(D58)</f>
        <v>PROPERTY</v>
      </c>
      <c r="Q58" s="1" t="n">
        <f aca="true">NETWORKDAYS(C58,TODAY())</f>
        <v>65</v>
      </c>
    </row>
    <row r="59" customFormat="false" ht="15" hidden="false" customHeight="true" outlineLevel="0" collapsed="false">
      <c r="A59" s="1" t="n">
        <v>56</v>
      </c>
      <c r="B59" s="1" t="s">
        <v>75</v>
      </c>
      <c r="C59" s="4" t="n">
        <v>45800</v>
      </c>
      <c r="D59" s="1" t="s">
        <v>9</v>
      </c>
      <c r="E59" s="8" t="n">
        <v>31</v>
      </c>
      <c r="F59" s="9" t="n">
        <v>478.58</v>
      </c>
      <c r="G59" s="9" t="n">
        <v>0</v>
      </c>
      <c r="H59" s="1" t="s">
        <v>10</v>
      </c>
      <c r="I59" s="1" t="s">
        <v>318</v>
      </c>
      <c r="J59" s="8" t="n">
        <f aca="false">YEAR(C59)</f>
        <v>2025</v>
      </c>
      <c r="K59" s="1" t="str">
        <f aca="false">TEXT(C59,"mmm-yyyy")</f>
        <v>May-2025</v>
      </c>
      <c r="L59" s="1" t="str">
        <f aca="false">_xlfn.IFS(E59&lt;25,"Young (18-24)",E59&lt;=40,"Adult (25-40)",E59&lt;=60,"Mid-Age (41-60)",TRUE(),"Senior (60+)")</f>
        <v>Adult (25-40)</v>
      </c>
      <c r="M59" s="10" t="n">
        <f aca="false">IF(F59=0,0,ROUND(G59/F59,2))</f>
        <v>0</v>
      </c>
      <c r="N59" s="1" t="str">
        <f aca="false">IF(AND(G59&gt;3000,H59="Approved"),"High-Value Approved",IF(OR(H59="Pending",H59="Unknown"),"Needs Review","Normal"))</f>
        <v>Normal</v>
      </c>
      <c r="O59" s="1" t="str">
        <f aca="false">LEFT(B59,3)</f>
        <v>POL</v>
      </c>
      <c r="P59" s="1" t="str">
        <f aca="false">UPPER(D59)</f>
        <v>LIFE</v>
      </c>
      <c r="Q59" s="1" t="n">
        <f aca="true">NETWORKDAYS(C59,TODAY())</f>
        <v>328</v>
      </c>
    </row>
    <row r="60" customFormat="false" ht="15" hidden="false" customHeight="true" outlineLevel="0" collapsed="false">
      <c r="A60" s="1" t="n">
        <v>57</v>
      </c>
      <c r="B60" s="1" t="s">
        <v>76</v>
      </c>
      <c r="C60" s="4" t="n">
        <v>46009</v>
      </c>
      <c r="D60" s="1" t="s">
        <v>19</v>
      </c>
      <c r="E60" s="8" t="n">
        <v>43</v>
      </c>
      <c r="F60" s="9" t="n">
        <v>328.07</v>
      </c>
      <c r="G60" s="9" t="n">
        <v>2881.08</v>
      </c>
      <c r="H60" s="1" t="s">
        <v>17</v>
      </c>
      <c r="I60" s="1" t="s">
        <v>318</v>
      </c>
      <c r="J60" s="8" t="n">
        <f aca="false">YEAR(C60)</f>
        <v>2025</v>
      </c>
      <c r="K60" s="1" t="str">
        <f aca="false">TEXT(C60,"mmm-yyyy")</f>
        <v>Dec-2025</v>
      </c>
      <c r="L60" s="1" t="str">
        <f aca="false">_xlfn.IFS(E60&lt;25,"Young (18-24)",E60&lt;=40,"Adult (25-40)",E60&lt;=60,"Mid-Age (41-60)",TRUE(),"Senior (60+)")</f>
        <v>Mid-Age (41-60)</v>
      </c>
      <c r="M60" s="10" t="n">
        <f aca="false">IF(F60=0,0,ROUND(G60/F60,2))</f>
        <v>8.78</v>
      </c>
      <c r="N60" s="1" t="str">
        <f aca="false">IF(AND(G60&gt;3000,H60="Approved"),"High-Value Approved",IF(OR(H60="Pending",H60="Unknown"),"Needs Review","Normal"))</f>
        <v>Normal</v>
      </c>
      <c r="O60" s="1" t="str">
        <f aca="false">LEFT(B60,3)</f>
        <v>POL</v>
      </c>
      <c r="P60" s="1" t="str">
        <f aca="false">UPPER(D60)</f>
        <v>HEALTH</v>
      </c>
      <c r="Q60" s="1" t="n">
        <f aca="true">NETWORKDAYS(C60,TODAY())</f>
        <v>179</v>
      </c>
    </row>
    <row r="61" customFormat="false" ht="15" hidden="false" customHeight="true" outlineLevel="0" collapsed="false">
      <c r="A61" s="1" t="n">
        <v>58</v>
      </c>
      <c r="B61" s="1" t="s">
        <v>77</v>
      </c>
      <c r="C61" s="4" t="n">
        <v>45924</v>
      </c>
      <c r="D61" s="1" t="s">
        <v>19</v>
      </c>
      <c r="E61" s="8" t="n">
        <v>48</v>
      </c>
      <c r="F61" s="9" t="n">
        <v>378.18</v>
      </c>
      <c r="G61" s="9" t="n">
        <v>1792.67</v>
      </c>
      <c r="H61" s="1" t="s">
        <v>17</v>
      </c>
      <c r="I61" s="1" t="s">
        <v>318</v>
      </c>
      <c r="J61" s="8" t="n">
        <f aca="false">YEAR(C61)</f>
        <v>2025</v>
      </c>
      <c r="K61" s="1" t="str">
        <f aca="false">TEXT(C61,"mmm-yyyy")</f>
        <v>Sep-2025</v>
      </c>
      <c r="L61" s="1" t="str">
        <f aca="false">_xlfn.IFS(E61&lt;25,"Young (18-24)",E61&lt;=40,"Adult (25-40)",E61&lt;=60,"Mid-Age (41-60)",TRUE(),"Senior (60+)")</f>
        <v>Mid-Age (41-60)</v>
      </c>
      <c r="M61" s="10" t="n">
        <f aca="false">IF(F61=0,0,ROUND(G61/F61,2))</f>
        <v>4.74</v>
      </c>
      <c r="N61" s="1" t="str">
        <f aca="false">IF(AND(G61&gt;3000,H61="Approved"),"High-Value Approved",IF(OR(H61="Pending",H61="Unknown"),"Needs Review","Normal"))</f>
        <v>Normal</v>
      </c>
      <c r="O61" s="1" t="str">
        <f aca="false">LEFT(B61,3)</f>
        <v>POL</v>
      </c>
      <c r="P61" s="1" t="str">
        <f aca="false">UPPER(D61)</f>
        <v>HEALTH</v>
      </c>
      <c r="Q61" s="1" t="n">
        <f aca="true">NETWORKDAYS(C61,TODAY())</f>
        <v>240</v>
      </c>
    </row>
    <row r="62" customFormat="false" ht="15" hidden="false" customHeight="true" outlineLevel="0" collapsed="false">
      <c r="A62" s="1" t="n">
        <v>59</v>
      </c>
      <c r="B62" s="1" t="s">
        <v>78</v>
      </c>
      <c r="C62" s="4" t="n">
        <v>45861</v>
      </c>
      <c r="D62" s="1" t="s">
        <v>19</v>
      </c>
      <c r="E62" s="8" t="n">
        <v>28</v>
      </c>
      <c r="F62" s="9" t="n">
        <v>354.35</v>
      </c>
      <c r="G62" s="9" t="n">
        <v>847.39</v>
      </c>
      <c r="H62" s="1" t="s">
        <v>13</v>
      </c>
      <c r="I62" s="1" t="s">
        <v>318</v>
      </c>
      <c r="J62" s="8" t="n">
        <f aca="false">YEAR(C62)</f>
        <v>2025</v>
      </c>
      <c r="K62" s="1" t="str">
        <f aca="false">TEXT(C62,"mmm-yyyy")</f>
        <v>Jul-2025</v>
      </c>
      <c r="L62" s="1" t="str">
        <f aca="false">_xlfn.IFS(E62&lt;25,"Young (18-24)",E62&lt;=40,"Adult (25-40)",E62&lt;=60,"Mid-Age (41-60)",TRUE(),"Senior (60+)")</f>
        <v>Adult (25-40)</v>
      </c>
      <c r="M62" s="10" t="n">
        <f aca="false">IF(F62=0,0,ROUND(G62/F62,2))</f>
        <v>2.39</v>
      </c>
      <c r="N62" s="1" t="str">
        <f aca="false">IF(AND(G62&gt;3000,H62="Approved"),"High-Value Approved",IF(OR(H62="Pending",H62="Unknown"),"Needs Review","Normal"))</f>
        <v>Needs Review</v>
      </c>
      <c r="O62" s="1" t="str">
        <f aca="false">LEFT(B62,3)</f>
        <v>POL</v>
      </c>
      <c r="P62" s="1" t="str">
        <f aca="false">UPPER(D62)</f>
        <v>HEALTH</v>
      </c>
      <c r="Q62" s="1" t="n">
        <f aca="true">NETWORKDAYS(C62,TODAY())</f>
        <v>285</v>
      </c>
    </row>
    <row r="63" customFormat="false" ht="15" hidden="false" customHeight="true" outlineLevel="0" collapsed="false">
      <c r="A63" s="1" t="n">
        <v>60</v>
      </c>
      <c r="B63" s="1" t="s">
        <v>79</v>
      </c>
      <c r="C63" s="4" t="n">
        <v>45739</v>
      </c>
      <c r="D63" s="1" t="s">
        <v>19</v>
      </c>
      <c r="E63" s="8" t="n">
        <v>26</v>
      </c>
      <c r="F63" s="9" t="n">
        <v>281.97</v>
      </c>
      <c r="G63" s="9" t="n">
        <v>1052.21</v>
      </c>
      <c r="H63" s="1" t="s">
        <v>13</v>
      </c>
      <c r="I63" s="1" t="s">
        <v>318</v>
      </c>
      <c r="J63" s="8" t="n">
        <f aca="false">YEAR(C63)</f>
        <v>2025</v>
      </c>
      <c r="K63" s="1" t="str">
        <f aca="false">TEXT(C63,"mmm-yyyy")</f>
        <v>Mar-2025</v>
      </c>
      <c r="L63" s="1" t="str">
        <f aca="false">_xlfn.IFS(E63&lt;25,"Young (18-24)",E63&lt;=40,"Adult (25-40)",E63&lt;=60,"Mid-Age (41-60)",TRUE(),"Senior (60+)")</f>
        <v>Adult (25-40)</v>
      </c>
      <c r="M63" s="10" t="n">
        <f aca="false">IF(F63=0,0,ROUND(G63/F63,2))</f>
        <v>3.73</v>
      </c>
      <c r="N63" s="1" t="str">
        <f aca="false">IF(AND(G63&gt;3000,H63="Approved"),"High-Value Approved",IF(OR(H63="Pending",H63="Unknown"),"Needs Review","Normal"))</f>
        <v>Needs Review</v>
      </c>
      <c r="O63" s="1" t="str">
        <f aca="false">LEFT(B63,3)</f>
        <v>POL</v>
      </c>
      <c r="P63" s="1" t="str">
        <f aca="false">UPPER(D63)</f>
        <v>HEALTH</v>
      </c>
      <c r="Q63" s="1" t="n">
        <f aca="true">NETWORKDAYS(C63,TODAY())</f>
        <v>372</v>
      </c>
    </row>
    <row r="64" customFormat="false" ht="15" hidden="false" customHeight="true" outlineLevel="0" collapsed="false">
      <c r="A64" s="1" t="n">
        <v>61</v>
      </c>
      <c r="B64" s="1" t="s">
        <v>80</v>
      </c>
      <c r="C64" s="4" t="n">
        <v>46023</v>
      </c>
      <c r="D64" s="1" t="s">
        <v>19</v>
      </c>
      <c r="E64" s="8" t="n">
        <v>26</v>
      </c>
      <c r="F64" s="9" t="n">
        <v>331.25</v>
      </c>
      <c r="G64" s="9" t="n">
        <v>0</v>
      </c>
      <c r="H64" s="1" t="s">
        <v>10</v>
      </c>
      <c r="I64" s="1" t="s">
        <v>318</v>
      </c>
      <c r="J64" s="8" t="n">
        <f aca="false">YEAR(C64)</f>
        <v>2026</v>
      </c>
      <c r="K64" s="1" t="str">
        <f aca="false">TEXT(C64,"mmm-yyyy")</f>
        <v>Jan-2026</v>
      </c>
      <c r="L64" s="1" t="str">
        <f aca="false">_xlfn.IFS(E64&lt;25,"Young (18-24)",E64&lt;=40,"Adult (25-40)",E64&lt;=60,"Mid-Age (41-60)",TRUE(),"Senior (60+)")</f>
        <v>Adult (25-40)</v>
      </c>
      <c r="M64" s="10" t="n">
        <f aca="false">IF(F64=0,0,ROUND(G64/F64,2))</f>
        <v>0</v>
      </c>
      <c r="N64" s="1" t="str">
        <f aca="false">IF(AND(G64&gt;3000,H64="Approved"),"High-Value Approved",IF(OR(H64="Pending",H64="Unknown"),"Needs Review","Normal"))</f>
        <v>Normal</v>
      </c>
      <c r="O64" s="1" t="str">
        <f aca="false">LEFT(B64,3)</f>
        <v>POL</v>
      </c>
      <c r="P64" s="1" t="str">
        <f aca="false">UPPER(D64)</f>
        <v>HEALTH</v>
      </c>
      <c r="Q64" s="1" t="n">
        <f aca="true">NETWORKDAYS(C64,TODAY())</f>
        <v>169</v>
      </c>
    </row>
    <row r="65" customFormat="false" ht="15" hidden="false" customHeight="true" outlineLevel="0" collapsed="false">
      <c r="A65" s="1" t="n">
        <v>62</v>
      </c>
      <c r="B65" s="1" t="s">
        <v>81</v>
      </c>
      <c r="C65" s="4" t="n">
        <v>45847</v>
      </c>
      <c r="D65" s="1" t="s">
        <v>19</v>
      </c>
      <c r="E65" s="8" t="n">
        <v>28</v>
      </c>
      <c r="F65" s="9" t="n">
        <v>347.04</v>
      </c>
      <c r="G65" s="9" t="n">
        <v>1963.68</v>
      </c>
      <c r="H65" s="1" t="s">
        <v>17</v>
      </c>
      <c r="I65" s="1" t="s">
        <v>318</v>
      </c>
      <c r="J65" s="8" t="n">
        <f aca="false">YEAR(C65)</f>
        <v>2025</v>
      </c>
      <c r="K65" s="1" t="str">
        <f aca="false">TEXT(C65,"mmm-yyyy")</f>
        <v>Jul-2025</v>
      </c>
      <c r="L65" s="1" t="str">
        <f aca="false">_xlfn.IFS(E65&lt;25,"Young (18-24)",E65&lt;=40,"Adult (25-40)",E65&lt;=60,"Mid-Age (41-60)",TRUE(),"Senior (60+)")</f>
        <v>Adult (25-40)</v>
      </c>
      <c r="M65" s="10" t="n">
        <f aca="false">IF(F65=0,0,ROUND(G65/F65,2))</f>
        <v>5.66</v>
      </c>
      <c r="N65" s="1" t="str">
        <f aca="false">IF(AND(G65&gt;3000,H65="Approved"),"High-Value Approved",IF(OR(H65="Pending",H65="Unknown"),"Needs Review","Normal"))</f>
        <v>Normal</v>
      </c>
      <c r="O65" s="1" t="str">
        <f aca="false">LEFT(B65,3)</f>
        <v>POL</v>
      </c>
      <c r="P65" s="1" t="str">
        <f aca="false">UPPER(D65)</f>
        <v>HEALTH</v>
      </c>
      <c r="Q65" s="1" t="n">
        <f aca="true">NETWORKDAYS(C65,TODAY())</f>
        <v>295</v>
      </c>
    </row>
    <row r="66" customFormat="false" ht="15" hidden="false" customHeight="true" outlineLevel="0" collapsed="false">
      <c r="A66" s="1" t="n">
        <v>63</v>
      </c>
      <c r="B66" s="1" t="s">
        <v>82</v>
      </c>
      <c r="C66" s="4" t="n">
        <v>45707</v>
      </c>
      <c r="D66" s="1" t="s">
        <v>19</v>
      </c>
      <c r="E66" s="8" t="n">
        <v>40</v>
      </c>
      <c r="F66" s="9" t="n">
        <v>540.37</v>
      </c>
      <c r="G66" s="9" t="n">
        <v>0</v>
      </c>
      <c r="H66" s="1" t="s">
        <v>10</v>
      </c>
      <c r="I66" s="1" t="s">
        <v>322</v>
      </c>
      <c r="J66" s="8" t="n">
        <f aca="false">YEAR(C66)</f>
        <v>2025</v>
      </c>
      <c r="K66" s="1" t="str">
        <f aca="false">TEXT(C66,"mmm-yyyy")</f>
        <v>Feb-2025</v>
      </c>
      <c r="L66" s="1" t="str">
        <f aca="false">_xlfn.IFS(E66&lt;25,"Young (18-24)",E66&lt;=40,"Adult (25-40)",E66&lt;=60,"Mid-Age (41-60)",TRUE(),"Senior (60+)")</f>
        <v>Adult (25-40)</v>
      </c>
      <c r="M66" s="10" t="n">
        <f aca="false">IF(F66=0,0,ROUND(G66/F66,2))</f>
        <v>0</v>
      </c>
      <c r="N66" s="1" t="str">
        <f aca="false">IF(AND(G66&gt;3000,H66="Approved"),"High-Value Approved",IF(OR(H66="Pending",H66="Unknown"),"Needs Review","Normal"))</f>
        <v>Normal</v>
      </c>
      <c r="O66" s="1" t="str">
        <f aca="false">LEFT(B66,3)</f>
        <v>POL</v>
      </c>
      <c r="P66" s="1" t="str">
        <f aca="false">UPPER(D66)</f>
        <v>HEALTH</v>
      </c>
      <c r="Q66" s="1" t="n">
        <f aca="true">NETWORKDAYS(C66,TODAY())</f>
        <v>395</v>
      </c>
    </row>
    <row r="67" customFormat="false" ht="15" hidden="false" customHeight="true" outlineLevel="0" collapsed="false">
      <c r="A67" s="1" t="n">
        <v>64</v>
      </c>
      <c r="B67" s="1" t="s">
        <v>83</v>
      </c>
      <c r="C67" s="4" t="n">
        <v>46042</v>
      </c>
      <c r="D67" s="1" t="s">
        <v>19</v>
      </c>
      <c r="E67" s="8" t="n">
        <v>53</v>
      </c>
      <c r="F67" s="9" t="n">
        <v>272.26</v>
      </c>
      <c r="G67" s="9" t="n">
        <v>3211.55</v>
      </c>
      <c r="H67" s="1" t="s">
        <v>30</v>
      </c>
      <c r="I67" s="1" t="s">
        <v>318</v>
      </c>
      <c r="J67" s="8" t="n">
        <f aca="false">YEAR(C67)</f>
        <v>2026</v>
      </c>
      <c r="K67" s="1" t="str">
        <f aca="false">TEXT(C67,"mmm-yyyy")</f>
        <v>Jan-2026</v>
      </c>
      <c r="L67" s="1" t="str">
        <f aca="false">_xlfn.IFS(E67&lt;25,"Young (18-24)",E67&lt;=40,"Adult (25-40)",E67&lt;=60,"Mid-Age (41-60)",TRUE(),"Senior (60+)")</f>
        <v>Mid-Age (41-60)</v>
      </c>
      <c r="M67" s="10" t="n">
        <f aca="false">IF(F67=0,0,ROUND(G67/F67,2))</f>
        <v>11.8</v>
      </c>
      <c r="N67" s="1" t="str">
        <f aca="false">IF(AND(G67&gt;3000,H67="Approved"),"High-Value Approved",IF(OR(H67="Pending",H67="Unknown"),"Needs Review","Normal"))</f>
        <v>Normal</v>
      </c>
      <c r="O67" s="1" t="str">
        <f aca="false">LEFT(B67,3)</f>
        <v>POL</v>
      </c>
      <c r="P67" s="1" t="str">
        <f aca="false">UPPER(D67)</f>
        <v>HEALTH</v>
      </c>
      <c r="Q67" s="1" t="n">
        <f aca="true">NETWORKDAYS(C67,TODAY())</f>
        <v>156</v>
      </c>
    </row>
    <row r="68" customFormat="false" ht="15" hidden="false" customHeight="true" outlineLevel="0" collapsed="false">
      <c r="A68" s="1" t="n">
        <v>65</v>
      </c>
      <c r="B68" s="1" t="s">
        <v>84</v>
      </c>
      <c r="C68" s="4" t="n">
        <v>45822</v>
      </c>
      <c r="D68" s="1" t="s">
        <v>16</v>
      </c>
      <c r="E68" s="8" t="n">
        <v>66</v>
      </c>
      <c r="F68" s="9" t="n">
        <v>339.61</v>
      </c>
      <c r="G68" s="9" t="n">
        <v>0</v>
      </c>
      <c r="H68" s="1" t="s">
        <v>10</v>
      </c>
      <c r="I68" s="1" t="s">
        <v>318</v>
      </c>
      <c r="J68" s="8" t="n">
        <f aca="false">YEAR(C68)</f>
        <v>2025</v>
      </c>
      <c r="K68" s="1" t="str">
        <f aca="false">TEXT(C68,"mmm-yyyy")</f>
        <v>Jun-2025</v>
      </c>
      <c r="L68" s="1" t="str">
        <f aca="false">_xlfn.IFS(E68&lt;25,"Young (18-24)",E68&lt;=40,"Adult (25-40)",E68&lt;=60,"Mid-Age (41-60)",TRUE(),"Senior (60+)")</f>
        <v>Senior (60+)</v>
      </c>
      <c r="M68" s="10" t="n">
        <f aca="false">IF(F68=0,0,ROUND(G68/F68,2))</f>
        <v>0</v>
      </c>
      <c r="N68" s="1" t="str">
        <f aca="false">IF(AND(G68&gt;3000,H68="Approved"),"High-Value Approved",IF(OR(H68="Pending",H68="Unknown"),"Needs Review","Normal"))</f>
        <v>Normal</v>
      </c>
      <c r="O68" s="1" t="str">
        <f aca="false">LEFT(B68,3)</f>
        <v>POL</v>
      </c>
      <c r="P68" s="1" t="str">
        <f aca="false">UPPER(D68)</f>
        <v>PROPERTY</v>
      </c>
      <c r="Q68" s="1" t="n">
        <f aca="true">NETWORKDAYS(C68,TODAY())</f>
        <v>312</v>
      </c>
    </row>
    <row r="69" customFormat="false" ht="15" hidden="false" customHeight="true" outlineLevel="0" collapsed="false">
      <c r="A69" s="1" t="n">
        <v>66</v>
      </c>
      <c r="B69" s="1" t="s">
        <v>85</v>
      </c>
      <c r="C69" s="4" t="n">
        <v>46168</v>
      </c>
      <c r="D69" s="1" t="s">
        <v>12</v>
      </c>
      <c r="E69" s="8" t="n">
        <v>20</v>
      </c>
      <c r="F69" s="9" t="n">
        <v>288.16</v>
      </c>
      <c r="G69" s="9" t="n">
        <v>0</v>
      </c>
      <c r="H69" s="1" t="s">
        <v>10</v>
      </c>
      <c r="I69" s="1" t="s">
        <v>318</v>
      </c>
      <c r="J69" s="8" t="n">
        <f aca="false">YEAR(C69)</f>
        <v>2026</v>
      </c>
      <c r="K69" s="1" t="str">
        <f aca="false">TEXT(C69,"mmm-yyyy")</f>
        <v>May-2026</v>
      </c>
      <c r="L69" s="1" t="str">
        <f aca="false">_xlfn.IFS(E69&lt;25,"Young (18-24)",E69&lt;=40,"Adult (25-40)",E69&lt;=60,"Mid-Age (41-60)",TRUE(),"Senior (60+)")</f>
        <v>Young (18-24)</v>
      </c>
      <c r="M69" s="10" t="n">
        <f aca="false">IF(F69=0,0,ROUND(G69/F69,2))</f>
        <v>0</v>
      </c>
      <c r="N69" s="1" t="str">
        <f aca="false">IF(AND(G69&gt;3000,H69="Approved"),"High-Value Approved",IF(OR(H69="Pending",H69="Unknown"),"Needs Review","Normal"))</f>
        <v>Normal</v>
      </c>
      <c r="O69" s="1" t="str">
        <f aca="false">LEFT(B69,3)</f>
        <v>POL</v>
      </c>
      <c r="P69" s="1" t="str">
        <f aca="false">UPPER(D69)</f>
        <v>MOTOR</v>
      </c>
      <c r="Q69" s="1" t="n">
        <f aca="true">NETWORKDAYS(C69,TODAY())</f>
        <v>66</v>
      </c>
    </row>
    <row r="70" customFormat="false" ht="15" hidden="false" customHeight="true" outlineLevel="0" collapsed="false">
      <c r="A70" s="1" t="n">
        <v>67</v>
      </c>
      <c r="B70" s="1" t="s">
        <v>87</v>
      </c>
      <c r="C70" s="4" t="n">
        <v>46176</v>
      </c>
      <c r="D70" s="1" t="s">
        <v>19</v>
      </c>
      <c r="E70" s="8" t="n">
        <v>23</v>
      </c>
      <c r="F70" s="9" t="n">
        <v>257.3</v>
      </c>
      <c r="G70" s="9" t="n">
        <v>3790.15</v>
      </c>
      <c r="H70" s="1" t="s">
        <v>30</v>
      </c>
      <c r="I70" s="1" t="s">
        <v>318</v>
      </c>
      <c r="J70" s="8" t="n">
        <f aca="false">YEAR(C70)</f>
        <v>2026</v>
      </c>
      <c r="K70" s="1" t="str">
        <f aca="false">TEXT(C70,"mmm-yyyy")</f>
        <v>Jun-2026</v>
      </c>
      <c r="L70" s="1" t="str">
        <f aca="false">_xlfn.IFS(E70&lt;25,"Young (18-24)",E70&lt;=40,"Adult (25-40)",E70&lt;=60,"Mid-Age (41-60)",TRUE(),"Senior (60+)")</f>
        <v>Young (18-24)</v>
      </c>
      <c r="M70" s="10" t="n">
        <f aca="false">IF(F70=0,0,ROUND(G70/F70,2))</f>
        <v>14.73</v>
      </c>
      <c r="N70" s="1" t="str">
        <f aca="false">IF(AND(G70&gt;3000,H70="Approved"),"High-Value Approved",IF(OR(H70="Pending",H70="Unknown"),"Needs Review","Normal"))</f>
        <v>Normal</v>
      </c>
      <c r="O70" s="1" t="str">
        <f aca="false">LEFT(B70,3)</f>
        <v>POL</v>
      </c>
      <c r="P70" s="1" t="str">
        <f aca="false">UPPER(D70)</f>
        <v>HEALTH</v>
      </c>
      <c r="Q70" s="1" t="n">
        <f aca="true">NETWORKDAYS(C70,TODAY())</f>
        <v>60</v>
      </c>
    </row>
    <row r="71" customFormat="false" ht="15" hidden="false" customHeight="true" outlineLevel="0" collapsed="false">
      <c r="A71" s="1" t="n">
        <v>68</v>
      </c>
      <c r="B71" s="1" t="s">
        <v>88</v>
      </c>
      <c r="C71" s="4" t="n">
        <v>46188</v>
      </c>
      <c r="D71" s="1" t="s">
        <v>19</v>
      </c>
      <c r="E71" s="8" t="n">
        <v>23</v>
      </c>
      <c r="F71" s="9" t="n">
        <v>364.44</v>
      </c>
      <c r="G71" s="9" t="n">
        <v>1228.11</v>
      </c>
      <c r="H71" s="1" t="s">
        <v>30</v>
      </c>
      <c r="I71" s="1" t="s">
        <v>318</v>
      </c>
      <c r="J71" s="8" t="n">
        <f aca="false">YEAR(C71)</f>
        <v>2026</v>
      </c>
      <c r="K71" s="1" t="str">
        <f aca="false">TEXT(C71,"mmm-yyyy")</f>
        <v>Jun-2026</v>
      </c>
      <c r="L71" s="1" t="str">
        <f aca="false">_xlfn.IFS(E71&lt;25,"Young (18-24)",E71&lt;=40,"Adult (25-40)",E71&lt;=60,"Mid-Age (41-60)",TRUE(),"Senior (60+)")</f>
        <v>Young (18-24)</v>
      </c>
      <c r="M71" s="10" t="n">
        <f aca="false">IF(F71=0,0,ROUND(G71/F71,2))</f>
        <v>3.37</v>
      </c>
      <c r="N71" s="1" t="str">
        <f aca="false">IF(AND(G71&gt;3000,H71="Approved"),"High-Value Approved",IF(OR(H71="Pending",H71="Unknown"),"Needs Review","Normal"))</f>
        <v>Normal</v>
      </c>
      <c r="O71" s="1" t="str">
        <f aca="false">LEFT(B71,3)</f>
        <v>POL</v>
      </c>
      <c r="P71" s="1" t="str">
        <f aca="false">UPPER(D71)</f>
        <v>HEALTH</v>
      </c>
      <c r="Q71" s="1" t="n">
        <f aca="true">NETWORKDAYS(C71,TODAY())</f>
        <v>52</v>
      </c>
    </row>
    <row r="72" customFormat="false" ht="15" hidden="false" customHeight="true" outlineLevel="0" collapsed="false">
      <c r="A72" s="1" t="n">
        <v>69</v>
      </c>
      <c r="B72" s="1" t="s">
        <v>89</v>
      </c>
      <c r="C72" s="4" t="n">
        <v>46077</v>
      </c>
      <c r="D72" s="1" t="s">
        <v>19</v>
      </c>
      <c r="E72" s="8" t="n">
        <v>59</v>
      </c>
      <c r="F72" s="9" t="n">
        <v>328.52</v>
      </c>
      <c r="G72" s="9" t="n">
        <v>936.07</v>
      </c>
      <c r="H72" s="1" t="s">
        <v>17</v>
      </c>
      <c r="I72" s="1" t="s">
        <v>318</v>
      </c>
      <c r="J72" s="8" t="n">
        <f aca="false">YEAR(C72)</f>
        <v>2026</v>
      </c>
      <c r="K72" s="1" t="str">
        <f aca="false">TEXT(C72,"mmm-yyyy")</f>
        <v>Feb-2026</v>
      </c>
      <c r="L72" s="1" t="str">
        <f aca="false">_xlfn.IFS(E72&lt;25,"Young (18-24)",E72&lt;=40,"Adult (25-40)",E72&lt;=60,"Mid-Age (41-60)",TRUE(),"Senior (60+)")</f>
        <v>Mid-Age (41-60)</v>
      </c>
      <c r="M72" s="10" t="n">
        <f aca="false">IF(F72=0,0,ROUND(G72/F72,2))</f>
        <v>2.85</v>
      </c>
      <c r="N72" s="1" t="str">
        <f aca="false">IF(AND(G72&gt;3000,H72="Approved"),"High-Value Approved",IF(OR(H72="Pending",H72="Unknown"),"Needs Review","Normal"))</f>
        <v>Normal</v>
      </c>
      <c r="O72" s="1" t="str">
        <f aca="false">LEFT(B72,3)</f>
        <v>POL</v>
      </c>
      <c r="P72" s="1" t="str">
        <f aca="false">UPPER(D72)</f>
        <v>HEALTH</v>
      </c>
      <c r="Q72" s="1" t="n">
        <f aca="true">NETWORKDAYS(C72,TODAY())</f>
        <v>131</v>
      </c>
    </row>
    <row r="73" customFormat="false" ht="15" hidden="false" customHeight="true" outlineLevel="0" collapsed="false">
      <c r="A73" s="1" t="n">
        <v>70</v>
      </c>
      <c r="B73" s="1" t="s">
        <v>90</v>
      </c>
      <c r="C73" s="4" t="n">
        <v>45939</v>
      </c>
      <c r="D73" s="1" t="s">
        <v>9</v>
      </c>
      <c r="E73" s="8" t="n">
        <v>43</v>
      </c>
      <c r="F73" s="9" t="n">
        <v>530.28</v>
      </c>
      <c r="G73" s="9" t="n">
        <v>0</v>
      </c>
      <c r="H73" s="1" t="s">
        <v>10</v>
      </c>
      <c r="I73" s="1" t="s">
        <v>316</v>
      </c>
      <c r="J73" s="8" t="n">
        <f aca="false">YEAR(C73)</f>
        <v>2025</v>
      </c>
      <c r="K73" s="1" t="str">
        <f aca="false">TEXT(C73,"mmm-yyyy")</f>
        <v>Oct-2025</v>
      </c>
      <c r="L73" s="1" t="str">
        <f aca="false">_xlfn.IFS(E73&lt;25,"Young (18-24)",E73&lt;=40,"Adult (25-40)",E73&lt;=60,"Mid-Age (41-60)",TRUE(),"Senior (60+)")</f>
        <v>Mid-Age (41-60)</v>
      </c>
      <c r="M73" s="10" t="n">
        <f aca="false">IF(F73=0,0,ROUND(G73/F73,2))</f>
        <v>0</v>
      </c>
      <c r="N73" s="1" t="str">
        <f aca="false">IF(AND(G73&gt;3000,H73="Approved"),"High-Value Approved",IF(OR(H73="Pending",H73="Unknown"),"Needs Review","Normal"))</f>
        <v>Normal</v>
      </c>
      <c r="O73" s="1" t="str">
        <f aca="false">LEFT(B73,3)</f>
        <v>POL</v>
      </c>
      <c r="P73" s="1" t="str">
        <f aca="false">UPPER(D73)</f>
        <v>LIFE</v>
      </c>
      <c r="Q73" s="1" t="n">
        <f aca="true">NETWORKDAYS(C73,TODAY())</f>
        <v>229</v>
      </c>
    </row>
    <row r="74" customFormat="false" ht="15" hidden="false" customHeight="true" outlineLevel="0" collapsed="false">
      <c r="A74" s="1" t="n">
        <v>71</v>
      </c>
      <c r="B74" s="1" t="s">
        <v>91</v>
      </c>
      <c r="C74" s="4" t="n">
        <v>46103</v>
      </c>
      <c r="D74" s="1" t="s">
        <v>9</v>
      </c>
      <c r="E74" s="8" t="n">
        <v>40</v>
      </c>
      <c r="F74" s="9" t="n">
        <v>341.79</v>
      </c>
      <c r="G74" s="9" t="n">
        <v>2422.46</v>
      </c>
      <c r="H74" s="1" t="s">
        <v>17</v>
      </c>
      <c r="I74" s="1" t="s">
        <v>318</v>
      </c>
      <c r="J74" s="8" t="n">
        <f aca="false">YEAR(C74)</f>
        <v>2026</v>
      </c>
      <c r="K74" s="1" t="str">
        <f aca="false">TEXT(C74,"mmm-yyyy")</f>
        <v>Mar-2026</v>
      </c>
      <c r="L74" s="1" t="str">
        <f aca="false">_xlfn.IFS(E74&lt;25,"Young (18-24)",E74&lt;=40,"Adult (25-40)",E74&lt;=60,"Mid-Age (41-60)",TRUE(),"Senior (60+)")</f>
        <v>Adult (25-40)</v>
      </c>
      <c r="M74" s="10" t="n">
        <f aca="false">IF(F74=0,0,ROUND(G74/F74,2))</f>
        <v>7.09</v>
      </c>
      <c r="N74" s="1" t="str">
        <f aca="false">IF(AND(G74&gt;3000,H74="Approved"),"High-Value Approved",IF(OR(H74="Pending",H74="Unknown"),"Needs Review","Normal"))</f>
        <v>Normal</v>
      </c>
      <c r="O74" s="1" t="str">
        <f aca="false">LEFT(B74,3)</f>
        <v>POL</v>
      </c>
      <c r="P74" s="1" t="str">
        <f aca="false">UPPER(D74)</f>
        <v>LIFE</v>
      </c>
      <c r="Q74" s="1" t="n">
        <f aca="true">NETWORKDAYS(C74,TODAY())</f>
        <v>112</v>
      </c>
    </row>
    <row r="75" customFormat="false" ht="15" hidden="false" customHeight="true" outlineLevel="0" collapsed="false">
      <c r="A75" s="1" t="n">
        <v>72</v>
      </c>
      <c r="B75" s="1" t="s">
        <v>92</v>
      </c>
      <c r="C75" s="4" t="n">
        <v>46076</v>
      </c>
      <c r="D75" s="1" t="s">
        <v>12</v>
      </c>
      <c r="E75" s="8" t="n">
        <v>47</v>
      </c>
      <c r="F75" s="9" t="n">
        <v>245.28</v>
      </c>
      <c r="G75" s="9" t="n">
        <v>2676.35</v>
      </c>
      <c r="H75" s="1" t="s">
        <v>13</v>
      </c>
      <c r="I75" s="1" t="s">
        <v>319</v>
      </c>
      <c r="J75" s="8" t="n">
        <f aca="false">YEAR(C75)</f>
        <v>2026</v>
      </c>
      <c r="K75" s="1" t="str">
        <f aca="false">TEXT(C75,"mmm-yyyy")</f>
        <v>Feb-2026</v>
      </c>
      <c r="L75" s="1" t="str">
        <f aca="false">_xlfn.IFS(E75&lt;25,"Young (18-24)",E75&lt;=40,"Adult (25-40)",E75&lt;=60,"Mid-Age (41-60)",TRUE(),"Senior (60+)")</f>
        <v>Mid-Age (41-60)</v>
      </c>
      <c r="M75" s="10" t="n">
        <f aca="false">IF(F75=0,0,ROUND(G75/F75,2))</f>
        <v>10.91</v>
      </c>
      <c r="N75" s="1" t="str">
        <f aca="false">IF(AND(G75&gt;3000,H75="Approved"),"High-Value Approved",IF(OR(H75="Pending",H75="Unknown"),"Needs Review","Normal"))</f>
        <v>Needs Review</v>
      </c>
      <c r="O75" s="1" t="str">
        <f aca="false">LEFT(B75,3)</f>
        <v>POL</v>
      </c>
      <c r="P75" s="1" t="str">
        <f aca="false">UPPER(D75)</f>
        <v>MOTOR</v>
      </c>
      <c r="Q75" s="1" t="n">
        <f aca="true">NETWORKDAYS(C75,TODAY())</f>
        <v>132</v>
      </c>
    </row>
    <row r="76" customFormat="false" ht="15" hidden="false" customHeight="true" outlineLevel="0" collapsed="false">
      <c r="A76" s="1" t="n">
        <v>73</v>
      </c>
      <c r="B76" s="1" t="s">
        <v>93</v>
      </c>
      <c r="C76" s="4" t="n">
        <v>46056</v>
      </c>
      <c r="D76" s="1" t="s">
        <v>19</v>
      </c>
      <c r="E76" s="8" t="n">
        <v>24</v>
      </c>
      <c r="F76" s="9" t="n">
        <v>387.6</v>
      </c>
      <c r="G76" s="9" t="n">
        <v>0</v>
      </c>
      <c r="H76" s="1" t="s">
        <v>10</v>
      </c>
      <c r="I76" s="1" t="s">
        <v>318</v>
      </c>
      <c r="J76" s="8" t="n">
        <f aca="false">YEAR(C76)</f>
        <v>2026</v>
      </c>
      <c r="K76" s="1" t="str">
        <f aca="false">TEXT(C76,"mmm-yyyy")</f>
        <v>Feb-2026</v>
      </c>
      <c r="L76" s="1" t="str">
        <f aca="false">_xlfn.IFS(E76&lt;25,"Young (18-24)",E76&lt;=40,"Adult (25-40)",E76&lt;=60,"Mid-Age (41-60)",TRUE(),"Senior (60+)")</f>
        <v>Young (18-24)</v>
      </c>
      <c r="M76" s="10" t="n">
        <f aca="false">IF(F76=0,0,ROUND(G76/F76,2))</f>
        <v>0</v>
      </c>
      <c r="N76" s="1" t="str">
        <f aca="false">IF(AND(G76&gt;3000,H76="Approved"),"High-Value Approved",IF(OR(H76="Pending",H76="Unknown"),"Needs Review","Normal"))</f>
        <v>Normal</v>
      </c>
      <c r="O76" s="1" t="str">
        <f aca="false">LEFT(B76,3)</f>
        <v>POL</v>
      </c>
      <c r="P76" s="1" t="str">
        <f aca="false">UPPER(D76)</f>
        <v>HEALTH</v>
      </c>
      <c r="Q76" s="1" t="n">
        <f aca="true">NETWORKDAYS(C76,TODAY())</f>
        <v>146</v>
      </c>
    </row>
    <row r="77" customFormat="false" ht="15" hidden="false" customHeight="true" outlineLevel="0" collapsed="false">
      <c r="A77" s="1" t="n">
        <v>74</v>
      </c>
      <c r="B77" s="1" t="s">
        <v>94</v>
      </c>
      <c r="C77" s="4" t="n">
        <v>46081</v>
      </c>
      <c r="D77" s="1" t="s">
        <v>19</v>
      </c>
      <c r="E77" s="8" t="n">
        <v>42</v>
      </c>
      <c r="F77" s="9" t="n">
        <v>122.56</v>
      </c>
      <c r="G77" s="9" t="n">
        <v>926.1</v>
      </c>
      <c r="H77" s="1" t="s">
        <v>17</v>
      </c>
      <c r="I77" s="1" t="s">
        <v>322</v>
      </c>
      <c r="J77" s="8" t="n">
        <f aca="false">YEAR(C77)</f>
        <v>2026</v>
      </c>
      <c r="K77" s="1" t="str">
        <f aca="false">TEXT(C77,"mmm-yyyy")</f>
        <v>Feb-2026</v>
      </c>
      <c r="L77" s="1" t="str">
        <f aca="false">_xlfn.IFS(E77&lt;25,"Young (18-24)",E77&lt;=40,"Adult (25-40)",E77&lt;=60,"Mid-Age (41-60)",TRUE(),"Senior (60+)")</f>
        <v>Mid-Age (41-60)</v>
      </c>
      <c r="M77" s="10" t="n">
        <f aca="false">IF(F77=0,0,ROUND(G77/F77,2))</f>
        <v>7.56</v>
      </c>
      <c r="N77" s="1" t="str">
        <f aca="false">IF(AND(G77&gt;3000,H77="Approved"),"High-Value Approved",IF(OR(H77="Pending",H77="Unknown"),"Needs Review","Normal"))</f>
        <v>Normal</v>
      </c>
      <c r="O77" s="1" t="str">
        <f aca="false">LEFT(B77,3)</f>
        <v>POL</v>
      </c>
      <c r="P77" s="1" t="str">
        <f aca="false">UPPER(D77)</f>
        <v>HEALTH</v>
      </c>
      <c r="Q77" s="1" t="n">
        <f aca="true">NETWORKDAYS(C77,TODAY())</f>
        <v>127</v>
      </c>
    </row>
    <row r="78" customFormat="false" ht="15" hidden="false" customHeight="true" outlineLevel="0" collapsed="false">
      <c r="A78" s="1" t="n">
        <v>75</v>
      </c>
      <c r="B78" s="1" t="s">
        <v>95</v>
      </c>
      <c r="C78" s="4" t="n">
        <v>46208</v>
      </c>
      <c r="D78" s="1" t="s">
        <v>12</v>
      </c>
      <c r="E78" s="8" t="n">
        <v>57</v>
      </c>
      <c r="F78" s="9" t="n">
        <v>238.14</v>
      </c>
      <c r="G78" s="9" t="n">
        <v>1683.8</v>
      </c>
      <c r="H78" s="1" t="s">
        <v>17</v>
      </c>
      <c r="I78" s="1" t="s">
        <v>318</v>
      </c>
      <c r="J78" s="8" t="n">
        <f aca="false">YEAR(C78)</f>
        <v>2026</v>
      </c>
      <c r="K78" s="1" t="str">
        <f aca="false">TEXT(C78,"mmm-yyyy")</f>
        <v>Jul-2026</v>
      </c>
      <c r="L78" s="1" t="str">
        <f aca="false">_xlfn.IFS(E78&lt;25,"Young (18-24)",E78&lt;=40,"Adult (25-40)",E78&lt;=60,"Mid-Age (41-60)",TRUE(),"Senior (60+)")</f>
        <v>Mid-Age (41-60)</v>
      </c>
      <c r="M78" s="10" t="n">
        <f aca="false">IF(F78=0,0,ROUND(G78/F78,2))</f>
        <v>7.07</v>
      </c>
      <c r="N78" s="1" t="str">
        <f aca="false">IF(AND(G78&gt;3000,H78="Approved"),"High-Value Approved",IF(OR(H78="Pending",H78="Unknown"),"Needs Review","Normal"))</f>
        <v>Normal</v>
      </c>
      <c r="O78" s="1" t="str">
        <f aca="false">LEFT(B78,3)</f>
        <v>POL</v>
      </c>
      <c r="P78" s="1" t="str">
        <f aca="false">UPPER(D78)</f>
        <v>MOTOR</v>
      </c>
      <c r="Q78" s="1" t="n">
        <f aca="true">NETWORKDAYS(C78,TODAY())</f>
        <v>37</v>
      </c>
    </row>
    <row r="79" customFormat="false" ht="15" hidden="false" customHeight="true" outlineLevel="0" collapsed="false">
      <c r="A79" s="1" t="n">
        <v>76</v>
      </c>
      <c r="B79" s="1" t="s">
        <v>96</v>
      </c>
      <c r="C79" s="4" t="n">
        <v>45679</v>
      </c>
      <c r="D79" s="1" t="s">
        <v>19</v>
      </c>
      <c r="E79" s="8" t="n">
        <v>46</v>
      </c>
      <c r="F79" s="9" t="n">
        <v>373.85</v>
      </c>
      <c r="G79" s="9" t="n">
        <v>2753.69</v>
      </c>
      <c r="H79" s="1" t="s">
        <v>30</v>
      </c>
      <c r="I79" s="1" t="s">
        <v>318</v>
      </c>
      <c r="J79" s="8" t="n">
        <f aca="false">YEAR(C79)</f>
        <v>2025</v>
      </c>
      <c r="K79" s="1" t="str">
        <f aca="false">TEXT(C79,"mmm-yyyy")</f>
        <v>Jan-2025</v>
      </c>
      <c r="L79" s="1" t="str">
        <f aca="false">_xlfn.IFS(E79&lt;25,"Young (18-24)",E79&lt;=40,"Adult (25-40)",E79&lt;=60,"Mid-Age (41-60)",TRUE(),"Senior (60+)")</f>
        <v>Mid-Age (41-60)</v>
      </c>
      <c r="M79" s="10" t="n">
        <f aca="false">IF(F79=0,0,ROUND(G79/F79,2))</f>
        <v>7.37</v>
      </c>
      <c r="N79" s="1" t="str">
        <f aca="false">IF(AND(G79&gt;3000,H79="Approved"),"High-Value Approved",IF(OR(H79="Pending",H79="Unknown"),"Needs Review","Normal"))</f>
        <v>Normal</v>
      </c>
      <c r="O79" s="1" t="str">
        <f aca="false">LEFT(B79,3)</f>
        <v>POL</v>
      </c>
      <c r="P79" s="1" t="str">
        <f aca="false">UPPER(D79)</f>
        <v>HEALTH</v>
      </c>
      <c r="Q79" s="1" t="n">
        <f aca="true">NETWORKDAYS(C79,TODAY())</f>
        <v>415</v>
      </c>
    </row>
    <row r="80" customFormat="false" ht="15" hidden="false" customHeight="true" outlineLevel="0" collapsed="false">
      <c r="A80" s="1" t="n">
        <v>77</v>
      </c>
      <c r="B80" s="1" t="s">
        <v>97</v>
      </c>
      <c r="C80" s="4" t="n">
        <v>46028</v>
      </c>
      <c r="D80" s="1" t="s">
        <v>9</v>
      </c>
      <c r="E80" s="8" t="n">
        <v>24</v>
      </c>
      <c r="F80" s="9" t="n">
        <v>382.95</v>
      </c>
      <c r="G80" s="9" t="n">
        <v>0</v>
      </c>
      <c r="H80" s="1" t="s">
        <v>10</v>
      </c>
      <c r="I80" s="1" t="s">
        <v>318</v>
      </c>
      <c r="J80" s="8" t="n">
        <f aca="false">YEAR(C80)</f>
        <v>2026</v>
      </c>
      <c r="K80" s="1" t="str">
        <f aca="false">TEXT(C80,"mmm-yyyy")</f>
        <v>Jan-2026</v>
      </c>
      <c r="L80" s="1" t="str">
        <f aca="false">_xlfn.IFS(E80&lt;25,"Young (18-24)",E80&lt;=40,"Adult (25-40)",E80&lt;=60,"Mid-Age (41-60)",TRUE(),"Senior (60+)")</f>
        <v>Young (18-24)</v>
      </c>
      <c r="M80" s="10" t="n">
        <f aca="false">IF(F80=0,0,ROUND(G80/F80,2))</f>
        <v>0</v>
      </c>
      <c r="N80" s="1" t="str">
        <f aca="false">IF(AND(G80&gt;3000,H80="Approved"),"High-Value Approved",IF(OR(H80="Pending",H80="Unknown"),"Needs Review","Normal"))</f>
        <v>Normal</v>
      </c>
      <c r="O80" s="1" t="str">
        <f aca="false">LEFT(B80,3)</f>
        <v>POL</v>
      </c>
      <c r="P80" s="1" t="str">
        <f aca="false">UPPER(D80)</f>
        <v>LIFE</v>
      </c>
      <c r="Q80" s="1" t="n">
        <f aca="true">NETWORKDAYS(C80,TODAY())</f>
        <v>166</v>
      </c>
    </row>
    <row r="81" customFormat="false" ht="15" hidden="false" customHeight="true" outlineLevel="0" collapsed="false">
      <c r="A81" s="1" t="n">
        <v>78</v>
      </c>
      <c r="B81" s="1" t="s">
        <v>98</v>
      </c>
      <c r="C81" s="4" t="n">
        <v>46157</v>
      </c>
      <c r="D81" s="1" t="s">
        <v>19</v>
      </c>
      <c r="E81" s="8" t="n">
        <v>40</v>
      </c>
      <c r="F81" s="9" t="n">
        <v>273.89</v>
      </c>
      <c r="G81" s="9" t="n">
        <v>0</v>
      </c>
      <c r="H81" s="1" t="s">
        <v>10</v>
      </c>
      <c r="I81" s="1" t="s">
        <v>318</v>
      </c>
      <c r="J81" s="8" t="n">
        <f aca="false">YEAR(C81)</f>
        <v>2026</v>
      </c>
      <c r="K81" s="1" t="str">
        <f aca="false">TEXT(C81,"mmm-yyyy")</f>
        <v>May-2026</v>
      </c>
      <c r="L81" s="1" t="str">
        <f aca="false">_xlfn.IFS(E81&lt;25,"Young (18-24)",E81&lt;=40,"Adult (25-40)",E81&lt;=60,"Mid-Age (41-60)",TRUE(),"Senior (60+)")</f>
        <v>Adult (25-40)</v>
      </c>
      <c r="M81" s="10" t="n">
        <f aca="false">IF(F81=0,0,ROUND(G81/F81,2))</f>
        <v>0</v>
      </c>
      <c r="N81" s="1" t="str">
        <f aca="false">IF(AND(G81&gt;3000,H81="Approved"),"High-Value Approved",IF(OR(H81="Pending",H81="Unknown"),"Needs Review","Normal"))</f>
        <v>Normal</v>
      </c>
      <c r="O81" s="1" t="str">
        <f aca="false">LEFT(B81,3)</f>
        <v>POL</v>
      </c>
      <c r="P81" s="1" t="str">
        <f aca="false">UPPER(D81)</f>
        <v>HEALTH</v>
      </c>
      <c r="Q81" s="1" t="n">
        <f aca="true">NETWORKDAYS(C81,TODAY())</f>
        <v>73</v>
      </c>
    </row>
    <row r="82" customFormat="false" ht="15" hidden="false" customHeight="true" outlineLevel="0" collapsed="false">
      <c r="A82" s="1" t="n">
        <v>79</v>
      </c>
      <c r="B82" s="1" t="s">
        <v>99</v>
      </c>
      <c r="C82" s="4" t="n">
        <v>46195</v>
      </c>
      <c r="D82" s="1" t="s">
        <v>19</v>
      </c>
      <c r="E82" s="8" t="n">
        <v>18</v>
      </c>
      <c r="F82" s="9" t="n">
        <v>358.91</v>
      </c>
      <c r="G82" s="9" t="n">
        <v>0</v>
      </c>
      <c r="H82" s="1" t="s">
        <v>10</v>
      </c>
      <c r="I82" s="1" t="s">
        <v>318</v>
      </c>
      <c r="J82" s="8" t="n">
        <f aca="false">YEAR(C82)</f>
        <v>2026</v>
      </c>
      <c r="K82" s="1" t="str">
        <f aca="false">TEXT(C82,"mmm-yyyy")</f>
        <v>Jun-2026</v>
      </c>
      <c r="L82" s="1" t="str">
        <f aca="false">_xlfn.IFS(E82&lt;25,"Young (18-24)",E82&lt;=40,"Adult (25-40)",E82&lt;=60,"Mid-Age (41-60)",TRUE(),"Senior (60+)")</f>
        <v>Young (18-24)</v>
      </c>
      <c r="M82" s="10" t="n">
        <f aca="false">IF(F82=0,0,ROUND(G82/F82,2))</f>
        <v>0</v>
      </c>
      <c r="N82" s="1" t="str">
        <f aca="false">IF(AND(G82&gt;3000,H82="Approved"),"High-Value Approved",IF(OR(H82="Pending",H82="Unknown"),"Needs Review","Normal"))</f>
        <v>Normal</v>
      </c>
      <c r="O82" s="1" t="str">
        <f aca="false">LEFT(B82,3)</f>
        <v>POL</v>
      </c>
      <c r="P82" s="1" t="str">
        <f aca="false">UPPER(D82)</f>
        <v>HEALTH</v>
      </c>
      <c r="Q82" s="1" t="n">
        <f aca="true">NETWORKDAYS(C82,TODAY())</f>
        <v>47</v>
      </c>
    </row>
    <row r="83" customFormat="false" ht="15" hidden="false" customHeight="true" outlineLevel="0" collapsed="false">
      <c r="A83" s="1" t="n">
        <v>80</v>
      </c>
      <c r="B83" s="1" t="s">
        <v>100</v>
      </c>
      <c r="C83" s="4" t="n">
        <v>46185</v>
      </c>
      <c r="D83" s="1" t="s">
        <v>12</v>
      </c>
      <c r="E83" s="8" t="n">
        <v>43</v>
      </c>
      <c r="F83" s="9" t="n">
        <v>252.48</v>
      </c>
      <c r="G83" s="9" t="n">
        <v>1646.56</v>
      </c>
      <c r="H83" s="1" t="s">
        <v>13</v>
      </c>
      <c r="I83" s="1" t="s">
        <v>317</v>
      </c>
      <c r="J83" s="8" t="n">
        <f aca="false">YEAR(C83)</f>
        <v>2026</v>
      </c>
      <c r="K83" s="1" t="str">
        <f aca="false">TEXT(C83,"mmm-yyyy")</f>
        <v>Jun-2026</v>
      </c>
      <c r="L83" s="1" t="str">
        <f aca="false">_xlfn.IFS(E83&lt;25,"Young (18-24)",E83&lt;=40,"Adult (25-40)",E83&lt;=60,"Mid-Age (41-60)",TRUE(),"Senior (60+)")</f>
        <v>Mid-Age (41-60)</v>
      </c>
      <c r="M83" s="10" t="n">
        <f aca="false">IF(F83=0,0,ROUND(G83/F83,2))</f>
        <v>6.52</v>
      </c>
      <c r="N83" s="1" t="str">
        <f aca="false">IF(AND(G83&gt;3000,H83="Approved"),"High-Value Approved",IF(OR(H83="Pending",H83="Unknown"),"Needs Review","Normal"))</f>
        <v>Needs Review</v>
      </c>
      <c r="O83" s="1" t="str">
        <f aca="false">LEFT(B83,3)</f>
        <v>POL</v>
      </c>
      <c r="P83" s="1" t="str">
        <f aca="false">UPPER(D83)</f>
        <v>MOTOR</v>
      </c>
      <c r="Q83" s="1" t="n">
        <f aca="true">NETWORKDAYS(C83,TODAY())</f>
        <v>53</v>
      </c>
    </row>
    <row r="84" customFormat="false" ht="15" hidden="false" customHeight="true" outlineLevel="0" collapsed="false">
      <c r="A84" s="1" t="n">
        <v>81</v>
      </c>
      <c r="B84" s="1" t="s">
        <v>101</v>
      </c>
      <c r="C84" s="4" t="n">
        <v>46205</v>
      </c>
      <c r="D84" s="1" t="s">
        <v>9</v>
      </c>
      <c r="E84" s="8" t="n">
        <v>22</v>
      </c>
      <c r="F84" s="9" t="n">
        <v>361.98</v>
      </c>
      <c r="G84" s="9" t="n">
        <v>0</v>
      </c>
      <c r="H84" s="1" t="s">
        <v>10</v>
      </c>
      <c r="I84" s="1" t="s">
        <v>318</v>
      </c>
      <c r="J84" s="8" t="n">
        <f aca="false">YEAR(C84)</f>
        <v>2026</v>
      </c>
      <c r="K84" s="1" t="str">
        <f aca="false">TEXT(C84,"mmm-yyyy")</f>
        <v>Jul-2026</v>
      </c>
      <c r="L84" s="1" t="str">
        <f aca="false">_xlfn.IFS(E84&lt;25,"Young (18-24)",E84&lt;=40,"Adult (25-40)",E84&lt;=60,"Mid-Age (41-60)",TRUE(),"Senior (60+)")</f>
        <v>Young (18-24)</v>
      </c>
      <c r="M84" s="10" t="n">
        <f aca="false">IF(F84=0,0,ROUND(G84/F84,2))</f>
        <v>0</v>
      </c>
      <c r="N84" s="1" t="str">
        <f aca="false">IF(AND(G84&gt;3000,H84="Approved"),"High-Value Approved",IF(OR(H84="Pending",H84="Unknown"),"Needs Review","Normal"))</f>
        <v>Normal</v>
      </c>
      <c r="O84" s="1" t="str">
        <f aca="false">LEFT(B84,3)</f>
        <v>POL</v>
      </c>
      <c r="P84" s="1" t="str">
        <f aca="false">UPPER(D84)</f>
        <v>LIFE</v>
      </c>
      <c r="Q84" s="1" t="n">
        <f aca="true">NETWORKDAYS(C84,TODAY())</f>
        <v>39</v>
      </c>
    </row>
    <row r="85" customFormat="false" ht="15" hidden="false" customHeight="true" outlineLevel="0" collapsed="false">
      <c r="A85" s="1" t="n">
        <v>82</v>
      </c>
      <c r="B85" s="1" t="s">
        <v>102</v>
      </c>
      <c r="C85" s="4" t="n">
        <v>45939</v>
      </c>
      <c r="D85" s="1" t="s">
        <v>19</v>
      </c>
      <c r="E85" s="8" t="n">
        <v>40</v>
      </c>
      <c r="F85" s="9" t="n">
        <v>343.61</v>
      </c>
      <c r="G85" s="9" t="n">
        <v>1984.79</v>
      </c>
      <c r="H85" s="1" t="s">
        <v>17</v>
      </c>
      <c r="I85" s="1" t="s">
        <v>317</v>
      </c>
      <c r="J85" s="8" t="n">
        <f aca="false">YEAR(C85)</f>
        <v>2025</v>
      </c>
      <c r="K85" s="1" t="str">
        <f aca="false">TEXT(C85,"mmm-yyyy")</f>
        <v>Oct-2025</v>
      </c>
      <c r="L85" s="1" t="str">
        <f aca="false">_xlfn.IFS(E85&lt;25,"Young (18-24)",E85&lt;=40,"Adult (25-40)",E85&lt;=60,"Mid-Age (41-60)",TRUE(),"Senior (60+)")</f>
        <v>Adult (25-40)</v>
      </c>
      <c r="M85" s="10" t="n">
        <f aca="false">IF(F85=0,0,ROUND(G85/F85,2))</f>
        <v>5.78</v>
      </c>
      <c r="N85" s="1" t="str">
        <f aca="false">IF(AND(G85&gt;3000,H85="Approved"),"High-Value Approved",IF(OR(H85="Pending",H85="Unknown"),"Needs Review","Normal"))</f>
        <v>Normal</v>
      </c>
      <c r="O85" s="1" t="str">
        <f aca="false">LEFT(B85,3)</f>
        <v>POL</v>
      </c>
      <c r="P85" s="1" t="str">
        <f aca="false">UPPER(D85)</f>
        <v>HEALTH</v>
      </c>
      <c r="Q85" s="1" t="n">
        <f aca="true">NETWORKDAYS(C85,TODAY())</f>
        <v>229</v>
      </c>
    </row>
    <row r="86" customFormat="false" ht="15" hidden="false" customHeight="true" outlineLevel="0" collapsed="false">
      <c r="A86" s="1" t="n">
        <v>83</v>
      </c>
      <c r="B86" s="1" t="s">
        <v>103</v>
      </c>
      <c r="C86" s="4" t="n">
        <v>45732</v>
      </c>
      <c r="D86" s="1" t="s">
        <v>9</v>
      </c>
      <c r="E86" s="8" t="n">
        <v>77</v>
      </c>
      <c r="F86" s="9" t="n">
        <v>416.49</v>
      </c>
      <c r="G86" s="9" t="n">
        <v>0</v>
      </c>
      <c r="H86" s="1" t="s">
        <v>38</v>
      </c>
      <c r="I86" s="1" t="s">
        <v>321</v>
      </c>
      <c r="J86" s="8" t="n">
        <f aca="false">YEAR(C86)</f>
        <v>2025</v>
      </c>
      <c r="K86" s="1" t="str">
        <f aca="false">TEXT(C86,"mmm-yyyy")</f>
        <v>Mar-2025</v>
      </c>
      <c r="L86" s="1" t="str">
        <f aca="false">_xlfn.IFS(E86&lt;25,"Young (18-24)",E86&lt;=40,"Adult (25-40)",E86&lt;=60,"Mid-Age (41-60)",TRUE(),"Senior (60+)")</f>
        <v>Senior (60+)</v>
      </c>
      <c r="M86" s="10" t="n">
        <f aca="false">IF(F86=0,0,ROUND(G86/F86,2))</f>
        <v>0</v>
      </c>
      <c r="N86" s="1" t="str">
        <f aca="false">IF(AND(G86&gt;3000,H86="Approved"),"High-Value Approved",IF(OR(H86="Pending",H86="Unknown"),"Needs Review","Normal"))</f>
        <v>Needs Review</v>
      </c>
      <c r="O86" s="1" t="str">
        <f aca="false">LEFT(B86,3)</f>
        <v>POL</v>
      </c>
      <c r="P86" s="1" t="str">
        <f aca="false">UPPER(D86)</f>
        <v>LIFE</v>
      </c>
      <c r="Q86" s="1" t="n">
        <f aca="true">NETWORKDAYS(C86,TODAY())</f>
        <v>377</v>
      </c>
    </row>
    <row r="87" customFormat="false" ht="15" hidden="false" customHeight="true" outlineLevel="0" collapsed="false">
      <c r="A87" s="1" t="n">
        <v>84</v>
      </c>
      <c r="B87" s="1" t="s">
        <v>104</v>
      </c>
      <c r="C87" s="4" t="n">
        <v>45799</v>
      </c>
      <c r="D87" s="1" t="s">
        <v>9</v>
      </c>
      <c r="E87" s="8" t="n">
        <v>26</v>
      </c>
      <c r="F87" s="9" t="n">
        <v>392.31</v>
      </c>
      <c r="G87" s="9" t="n">
        <v>0</v>
      </c>
      <c r="H87" s="1" t="s">
        <v>10</v>
      </c>
      <c r="I87" s="1" t="s">
        <v>318</v>
      </c>
      <c r="J87" s="8" t="n">
        <f aca="false">YEAR(C87)</f>
        <v>2025</v>
      </c>
      <c r="K87" s="1" t="str">
        <f aca="false">TEXT(C87,"mmm-yyyy")</f>
        <v>May-2025</v>
      </c>
      <c r="L87" s="1" t="str">
        <f aca="false">_xlfn.IFS(E87&lt;25,"Young (18-24)",E87&lt;=40,"Adult (25-40)",E87&lt;=60,"Mid-Age (41-60)",TRUE(),"Senior (60+)")</f>
        <v>Adult (25-40)</v>
      </c>
      <c r="M87" s="10" t="n">
        <f aca="false">IF(F87=0,0,ROUND(G87/F87,2))</f>
        <v>0</v>
      </c>
      <c r="N87" s="1" t="str">
        <f aca="false">IF(AND(G87&gt;3000,H87="Approved"),"High-Value Approved",IF(OR(H87="Pending",H87="Unknown"),"Needs Review","Normal"))</f>
        <v>Normal</v>
      </c>
      <c r="O87" s="1" t="str">
        <f aca="false">LEFT(B87,3)</f>
        <v>POL</v>
      </c>
      <c r="P87" s="1" t="str">
        <f aca="false">UPPER(D87)</f>
        <v>LIFE</v>
      </c>
      <c r="Q87" s="1" t="n">
        <f aca="true">NETWORKDAYS(C87,TODAY())</f>
        <v>329</v>
      </c>
    </row>
    <row r="88" customFormat="false" ht="15" hidden="false" customHeight="true" outlineLevel="0" collapsed="false">
      <c r="A88" s="1" t="n">
        <v>85</v>
      </c>
      <c r="B88" s="1" t="s">
        <v>106</v>
      </c>
      <c r="C88" s="4" t="n">
        <v>45712</v>
      </c>
      <c r="D88" s="1" t="s">
        <v>12</v>
      </c>
      <c r="E88" s="8" t="n">
        <v>69</v>
      </c>
      <c r="F88" s="9" t="n">
        <v>358.44</v>
      </c>
      <c r="G88" s="9" t="n">
        <v>0</v>
      </c>
      <c r="H88" s="1" t="s">
        <v>10</v>
      </c>
      <c r="I88" s="1" t="s">
        <v>318</v>
      </c>
      <c r="J88" s="8" t="n">
        <f aca="false">YEAR(C88)</f>
        <v>2025</v>
      </c>
      <c r="K88" s="1" t="str">
        <f aca="false">TEXT(C88,"mmm-yyyy")</f>
        <v>Feb-2025</v>
      </c>
      <c r="L88" s="1" t="str">
        <f aca="false">_xlfn.IFS(E88&lt;25,"Young (18-24)",E88&lt;=40,"Adult (25-40)",E88&lt;=60,"Mid-Age (41-60)",TRUE(),"Senior (60+)")</f>
        <v>Senior (60+)</v>
      </c>
      <c r="M88" s="10" t="n">
        <f aca="false">IF(F88=0,0,ROUND(G88/F88,2))</f>
        <v>0</v>
      </c>
      <c r="N88" s="1" t="str">
        <f aca="false">IF(AND(G88&gt;3000,H88="Approved"),"High-Value Approved",IF(OR(H88="Pending",H88="Unknown"),"Needs Review","Normal"))</f>
        <v>Normal</v>
      </c>
      <c r="O88" s="1" t="str">
        <f aca="false">LEFT(B88,3)</f>
        <v>POL</v>
      </c>
      <c r="P88" s="1" t="str">
        <f aca="false">UPPER(D88)</f>
        <v>MOTOR</v>
      </c>
      <c r="Q88" s="1" t="n">
        <f aca="true">NETWORKDAYS(C88,TODAY())</f>
        <v>392</v>
      </c>
    </row>
    <row r="89" customFormat="false" ht="15" hidden="false" customHeight="true" outlineLevel="0" collapsed="false">
      <c r="A89" s="1" t="n">
        <v>86</v>
      </c>
      <c r="B89" s="1" t="s">
        <v>107</v>
      </c>
      <c r="C89" s="4" t="n">
        <v>45892</v>
      </c>
      <c r="D89" s="1" t="s">
        <v>12</v>
      </c>
      <c r="E89" s="8" t="n">
        <v>23</v>
      </c>
      <c r="F89" s="9" t="n">
        <v>349.59</v>
      </c>
      <c r="G89" s="9" t="n">
        <v>0</v>
      </c>
      <c r="H89" s="1" t="s">
        <v>10</v>
      </c>
      <c r="I89" s="1" t="s">
        <v>318</v>
      </c>
      <c r="J89" s="8" t="n">
        <f aca="false">YEAR(C89)</f>
        <v>2025</v>
      </c>
      <c r="K89" s="1" t="str">
        <f aca="false">TEXT(C89,"mmm-yyyy")</f>
        <v>Aug-2025</v>
      </c>
      <c r="L89" s="1" t="str">
        <f aca="false">_xlfn.IFS(E89&lt;25,"Young (18-24)",E89&lt;=40,"Adult (25-40)",E89&lt;=60,"Mid-Age (41-60)",TRUE(),"Senior (60+)")</f>
        <v>Young (18-24)</v>
      </c>
      <c r="M89" s="10" t="n">
        <f aca="false">IF(F89=0,0,ROUND(G89/F89,2))</f>
        <v>0</v>
      </c>
      <c r="N89" s="1" t="str">
        <f aca="false">IF(AND(G89&gt;3000,H89="Approved"),"High-Value Approved",IF(OR(H89="Pending",H89="Unknown"),"Needs Review","Normal"))</f>
        <v>Normal</v>
      </c>
      <c r="O89" s="1" t="str">
        <f aca="false">LEFT(B89,3)</f>
        <v>POL</v>
      </c>
      <c r="P89" s="1" t="str">
        <f aca="false">UPPER(D89)</f>
        <v>MOTOR</v>
      </c>
      <c r="Q89" s="1" t="n">
        <f aca="true">NETWORKDAYS(C89,TODAY())</f>
        <v>262</v>
      </c>
    </row>
    <row r="90" customFormat="false" ht="15" hidden="false" customHeight="true" outlineLevel="0" collapsed="false">
      <c r="A90" s="1" t="n">
        <v>87</v>
      </c>
      <c r="B90" s="1" t="s">
        <v>108</v>
      </c>
      <c r="C90" s="4" t="n">
        <v>46215</v>
      </c>
      <c r="D90" s="1" t="s">
        <v>19</v>
      </c>
      <c r="E90" s="8" t="n">
        <v>68</v>
      </c>
      <c r="F90" s="9" t="n">
        <v>386.7</v>
      </c>
      <c r="G90" s="9" t="n">
        <v>0</v>
      </c>
      <c r="H90" s="1" t="s">
        <v>10</v>
      </c>
      <c r="I90" s="1" t="s">
        <v>318</v>
      </c>
      <c r="J90" s="8" t="n">
        <f aca="false">YEAR(C90)</f>
        <v>2026</v>
      </c>
      <c r="K90" s="1" t="str">
        <f aca="false">TEXT(C90,"mmm-yyyy")</f>
        <v>Jul-2026</v>
      </c>
      <c r="L90" s="1" t="str">
        <f aca="false">_xlfn.IFS(E90&lt;25,"Young (18-24)",E90&lt;=40,"Adult (25-40)",E90&lt;=60,"Mid-Age (41-60)",TRUE(),"Senior (60+)")</f>
        <v>Senior (60+)</v>
      </c>
      <c r="M90" s="10" t="n">
        <f aca="false">IF(F90=0,0,ROUND(G90/F90,2))</f>
        <v>0</v>
      </c>
      <c r="N90" s="1" t="str">
        <f aca="false">IF(AND(G90&gt;3000,H90="Approved"),"High-Value Approved",IF(OR(H90="Pending",H90="Unknown"),"Needs Review","Normal"))</f>
        <v>Normal</v>
      </c>
      <c r="O90" s="1" t="str">
        <f aca="false">LEFT(B90,3)</f>
        <v>POL</v>
      </c>
      <c r="P90" s="1" t="str">
        <f aca="false">UPPER(D90)</f>
        <v>HEALTH</v>
      </c>
      <c r="Q90" s="1" t="n">
        <f aca="true">NETWORKDAYS(C90,TODAY())</f>
        <v>32</v>
      </c>
    </row>
    <row r="91" customFormat="false" ht="15" hidden="false" customHeight="true" outlineLevel="0" collapsed="false">
      <c r="A91" s="1" t="n">
        <v>88</v>
      </c>
      <c r="B91" s="1" t="s">
        <v>109</v>
      </c>
      <c r="C91" s="4" t="n">
        <v>46142</v>
      </c>
      <c r="D91" s="1" t="s">
        <v>19</v>
      </c>
      <c r="E91" s="8" t="n">
        <v>22</v>
      </c>
      <c r="F91" s="9" t="n">
        <v>256.1</v>
      </c>
      <c r="G91" s="9" t="n">
        <v>0</v>
      </c>
      <c r="H91" s="1" t="s">
        <v>10</v>
      </c>
      <c r="I91" s="1" t="s">
        <v>318</v>
      </c>
      <c r="J91" s="8" t="n">
        <f aca="false">YEAR(C91)</f>
        <v>2026</v>
      </c>
      <c r="K91" s="1" t="str">
        <f aca="false">TEXT(C91,"mmm-yyyy")</f>
        <v>Apr-2026</v>
      </c>
      <c r="L91" s="1" t="str">
        <f aca="false">_xlfn.IFS(E91&lt;25,"Young (18-24)",E91&lt;=40,"Adult (25-40)",E91&lt;=60,"Mid-Age (41-60)",TRUE(),"Senior (60+)")</f>
        <v>Young (18-24)</v>
      </c>
      <c r="M91" s="10" t="n">
        <f aca="false">IF(F91=0,0,ROUND(G91/F91,2))</f>
        <v>0</v>
      </c>
      <c r="N91" s="1" t="str">
        <f aca="false">IF(AND(G91&gt;3000,H91="Approved"),"High-Value Approved",IF(OR(H91="Pending",H91="Unknown"),"Needs Review","Normal"))</f>
        <v>Normal</v>
      </c>
      <c r="O91" s="1" t="str">
        <f aca="false">LEFT(B91,3)</f>
        <v>POL</v>
      </c>
      <c r="P91" s="1" t="str">
        <f aca="false">UPPER(D91)</f>
        <v>HEALTH</v>
      </c>
      <c r="Q91" s="1" t="n">
        <f aca="true">NETWORKDAYS(C91,TODAY())</f>
        <v>84</v>
      </c>
    </row>
    <row r="92" customFormat="false" ht="15" hidden="false" customHeight="true" outlineLevel="0" collapsed="false">
      <c r="A92" s="1" t="n">
        <v>89</v>
      </c>
      <c r="B92" s="1" t="s">
        <v>110</v>
      </c>
      <c r="C92" s="4" t="n">
        <v>45827</v>
      </c>
      <c r="D92" s="1" t="s">
        <v>16</v>
      </c>
      <c r="E92" s="8" t="n">
        <v>39</v>
      </c>
      <c r="F92" s="9" t="n">
        <v>427.93</v>
      </c>
      <c r="G92" s="9" t="n">
        <v>3110.88</v>
      </c>
      <c r="H92" s="1" t="s">
        <v>38</v>
      </c>
      <c r="I92" s="1" t="s">
        <v>321</v>
      </c>
      <c r="J92" s="8" t="n">
        <f aca="false">YEAR(C92)</f>
        <v>2025</v>
      </c>
      <c r="K92" s="1" t="str">
        <f aca="false">TEXT(C92,"mmm-yyyy")</f>
        <v>Jun-2025</v>
      </c>
      <c r="L92" s="1" t="str">
        <f aca="false">_xlfn.IFS(E92&lt;25,"Young (18-24)",E92&lt;=40,"Adult (25-40)",E92&lt;=60,"Mid-Age (41-60)",TRUE(),"Senior (60+)")</f>
        <v>Adult (25-40)</v>
      </c>
      <c r="M92" s="10" t="n">
        <f aca="false">IF(F92=0,0,ROUND(G92/F92,2))</f>
        <v>7.27</v>
      </c>
      <c r="N92" s="1" t="str">
        <f aca="false">IF(AND(G92&gt;3000,H92="Approved"),"High-Value Approved",IF(OR(H92="Pending",H92="Unknown"),"Needs Review","Normal"))</f>
        <v>Needs Review</v>
      </c>
      <c r="O92" s="1" t="str">
        <f aca="false">LEFT(B92,3)</f>
        <v>POL</v>
      </c>
      <c r="P92" s="1" t="str">
        <f aca="false">UPPER(D92)</f>
        <v>PROPERTY</v>
      </c>
      <c r="Q92" s="1" t="n">
        <f aca="true">NETWORKDAYS(C92,TODAY())</f>
        <v>309</v>
      </c>
    </row>
    <row r="93" customFormat="false" ht="15" hidden="false" customHeight="true" outlineLevel="0" collapsed="false">
      <c r="A93" s="1" t="n">
        <v>90</v>
      </c>
      <c r="B93" s="1" t="s">
        <v>111</v>
      </c>
      <c r="C93" s="4" t="n">
        <v>46136</v>
      </c>
      <c r="D93" s="1" t="s">
        <v>40</v>
      </c>
      <c r="E93" s="8" t="n">
        <v>19</v>
      </c>
      <c r="F93" s="9" t="n">
        <v>83.21</v>
      </c>
      <c r="G93" s="9" t="n">
        <v>0</v>
      </c>
      <c r="H93" s="1" t="s">
        <v>10</v>
      </c>
      <c r="I93" s="1" t="s">
        <v>318</v>
      </c>
      <c r="J93" s="8" t="n">
        <f aca="false">YEAR(C93)</f>
        <v>2026</v>
      </c>
      <c r="K93" s="1" t="str">
        <f aca="false">TEXT(C93,"mmm-yyyy")</f>
        <v>Apr-2026</v>
      </c>
      <c r="L93" s="1" t="str">
        <f aca="false">_xlfn.IFS(E93&lt;25,"Young (18-24)",E93&lt;=40,"Adult (25-40)",E93&lt;=60,"Mid-Age (41-60)",TRUE(),"Senior (60+)")</f>
        <v>Young (18-24)</v>
      </c>
      <c r="M93" s="10" t="n">
        <f aca="false">IF(F93=0,0,ROUND(G93/F93,2))</f>
        <v>0</v>
      </c>
      <c r="N93" s="1" t="str">
        <f aca="false">IF(AND(G93&gt;3000,H93="Approved"),"High-Value Approved",IF(OR(H93="Pending",H93="Unknown"),"Needs Review","Normal"))</f>
        <v>Normal</v>
      </c>
      <c r="O93" s="1" t="str">
        <f aca="false">LEFT(B93,3)</f>
        <v>POL</v>
      </c>
      <c r="P93" s="1" t="str">
        <f aca="false">UPPER(D93)</f>
        <v>TRAVEL</v>
      </c>
      <c r="Q93" s="1" t="n">
        <f aca="true">NETWORKDAYS(C93,TODAY())</f>
        <v>88</v>
      </c>
    </row>
    <row r="94" customFormat="false" ht="15" hidden="false" customHeight="true" outlineLevel="0" collapsed="false">
      <c r="A94" s="1" t="n">
        <v>91</v>
      </c>
      <c r="B94" s="1" t="s">
        <v>112</v>
      </c>
      <c r="C94" s="4" t="n">
        <v>45777</v>
      </c>
      <c r="D94" s="1" t="s">
        <v>9</v>
      </c>
      <c r="E94" s="8" t="n">
        <v>65</v>
      </c>
      <c r="F94" s="9" t="n">
        <v>413.35</v>
      </c>
      <c r="G94" s="9" t="n">
        <v>3583.53</v>
      </c>
      <c r="H94" s="1" t="s">
        <v>17</v>
      </c>
      <c r="I94" s="1" t="s">
        <v>318</v>
      </c>
      <c r="J94" s="8" t="n">
        <f aca="false">YEAR(C94)</f>
        <v>2025</v>
      </c>
      <c r="K94" s="1" t="str">
        <f aca="false">TEXT(C94,"mmm-yyyy")</f>
        <v>Apr-2025</v>
      </c>
      <c r="L94" s="1" t="str">
        <f aca="false">_xlfn.IFS(E94&lt;25,"Young (18-24)",E94&lt;=40,"Adult (25-40)",E94&lt;=60,"Mid-Age (41-60)",TRUE(),"Senior (60+)")</f>
        <v>Senior (60+)</v>
      </c>
      <c r="M94" s="10" t="n">
        <f aca="false">IF(F94=0,0,ROUND(G94/F94,2))</f>
        <v>8.67</v>
      </c>
      <c r="N94" s="1" t="str">
        <f aca="false">IF(AND(G94&gt;3000,H94="Approved"),"High-Value Approved",IF(OR(H94="Pending",H94="Unknown"),"Needs Review","Normal"))</f>
        <v>High-Value Approved</v>
      </c>
      <c r="O94" s="1" t="str">
        <f aca="false">LEFT(B94,3)</f>
        <v>POL</v>
      </c>
      <c r="P94" s="1" t="str">
        <f aca="false">UPPER(D94)</f>
        <v>LIFE</v>
      </c>
      <c r="Q94" s="1" t="n">
        <f aca="true">NETWORKDAYS(C94,TODAY())</f>
        <v>345</v>
      </c>
    </row>
    <row r="95" customFormat="false" ht="15" hidden="false" customHeight="true" outlineLevel="0" collapsed="false">
      <c r="A95" s="1" t="n">
        <v>92</v>
      </c>
      <c r="B95" s="1" t="s">
        <v>113</v>
      </c>
      <c r="C95" s="4" t="n">
        <v>46196</v>
      </c>
      <c r="D95" s="1" t="s">
        <v>9</v>
      </c>
      <c r="E95" s="8" t="n">
        <v>39</v>
      </c>
      <c r="F95" s="9" t="n">
        <v>409.35</v>
      </c>
      <c r="G95" s="9" t="n">
        <v>0</v>
      </c>
      <c r="H95" s="1" t="s">
        <v>10</v>
      </c>
      <c r="I95" s="1" t="s">
        <v>318</v>
      </c>
      <c r="J95" s="8" t="n">
        <f aca="false">YEAR(C95)</f>
        <v>2026</v>
      </c>
      <c r="K95" s="1" t="str">
        <f aca="false">TEXT(C95,"mmm-yyyy")</f>
        <v>Jun-2026</v>
      </c>
      <c r="L95" s="1" t="str">
        <f aca="false">_xlfn.IFS(E95&lt;25,"Young (18-24)",E95&lt;=40,"Adult (25-40)",E95&lt;=60,"Mid-Age (41-60)",TRUE(),"Senior (60+)")</f>
        <v>Adult (25-40)</v>
      </c>
      <c r="M95" s="10" t="n">
        <f aca="false">IF(F95=0,0,ROUND(G95/F95,2))</f>
        <v>0</v>
      </c>
      <c r="N95" s="1" t="str">
        <f aca="false">IF(AND(G95&gt;3000,H95="Approved"),"High-Value Approved",IF(OR(H95="Pending",H95="Unknown"),"Needs Review","Normal"))</f>
        <v>Normal</v>
      </c>
      <c r="O95" s="1" t="str">
        <f aca="false">LEFT(B95,3)</f>
        <v>POL</v>
      </c>
      <c r="P95" s="1" t="str">
        <f aca="false">UPPER(D95)</f>
        <v>LIFE</v>
      </c>
      <c r="Q95" s="1" t="n">
        <f aca="true">NETWORKDAYS(C95,TODAY())</f>
        <v>46</v>
      </c>
    </row>
    <row r="96" customFormat="false" ht="15" hidden="false" customHeight="true" outlineLevel="0" collapsed="false">
      <c r="A96" s="1" t="n">
        <v>93</v>
      </c>
      <c r="B96" s="1" t="s">
        <v>114</v>
      </c>
      <c r="C96" s="4" t="n">
        <v>45957</v>
      </c>
      <c r="D96" s="1" t="s">
        <v>16</v>
      </c>
      <c r="E96" s="8" t="n">
        <v>21</v>
      </c>
      <c r="F96" s="9" t="n">
        <v>572</v>
      </c>
      <c r="G96" s="9" t="n">
        <v>0</v>
      </c>
      <c r="H96" s="1" t="s">
        <v>10</v>
      </c>
      <c r="I96" s="1" t="s">
        <v>318</v>
      </c>
      <c r="J96" s="8" t="n">
        <f aca="false">YEAR(C96)</f>
        <v>2025</v>
      </c>
      <c r="K96" s="1" t="str">
        <f aca="false">TEXT(C96,"mmm-yyyy")</f>
        <v>Oct-2025</v>
      </c>
      <c r="L96" s="1" t="str">
        <f aca="false">_xlfn.IFS(E96&lt;25,"Young (18-24)",E96&lt;=40,"Adult (25-40)",E96&lt;=60,"Mid-Age (41-60)",TRUE(),"Senior (60+)")</f>
        <v>Young (18-24)</v>
      </c>
      <c r="M96" s="10" t="n">
        <f aca="false">IF(F96=0,0,ROUND(G96/F96,2))</f>
        <v>0</v>
      </c>
      <c r="N96" s="1" t="str">
        <f aca="false">IF(AND(G96&gt;3000,H96="Approved"),"High-Value Approved",IF(OR(H96="Pending",H96="Unknown"),"Needs Review","Normal"))</f>
        <v>Normal</v>
      </c>
      <c r="O96" s="1" t="str">
        <f aca="false">LEFT(B96,3)</f>
        <v>POL</v>
      </c>
      <c r="P96" s="1" t="str">
        <f aca="false">UPPER(D96)</f>
        <v>PROPERTY</v>
      </c>
      <c r="Q96" s="1" t="n">
        <f aca="true">NETWORKDAYS(C96,TODAY())</f>
        <v>217</v>
      </c>
    </row>
    <row r="97" customFormat="false" ht="15" hidden="false" customHeight="true" outlineLevel="0" collapsed="false">
      <c r="A97" s="1" t="n">
        <v>94</v>
      </c>
      <c r="B97" s="1" t="s">
        <v>115</v>
      </c>
      <c r="C97" s="4" t="n">
        <v>45740</v>
      </c>
      <c r="D97" s="1" t="s">
        <v>40</v>
      </c>
      <c r="E97" s="8" t="n">
        <v>55</v>
      </c>
      <c r="F97" s="9" t="n">
        <v>106.3</v>
      </c>
      <c r="G97" s="9" t="n">
        <v>0</v>
      </c>
      <c r="H97" s="1" t="s">
        <v>10</v>
      </c>
      <c r="I97" s="1" t="s">
        <v>320</v>
      </c>
      <c r="J97" s="8" t="n">
        <f aca="false">YEAR(C97)</f>
        <v>2025</v>
      </c>
      <c r="K97" s="1" t="str">
        <f aca="false">TEXT(C97,"mmm-yyyy")</f>
        <v>Mar-2025</v>
      </c>
      <c r="L97" s="1" t="str">
        <f aca="false">_xlfn.IFS(E97&lt;25,"Young (18-24)",E97&lt;=40,"Adult (25-40)",E97&lt;=60,"Mid-Age (41-60)",TRUE(),"Senior (60+)")</f>
        <v>Mid-Age (41-60)</v>
      </c>
      <c r="M97" s="10" t="n">
        <f aca="false">IF(F97=0,0,ROUND(G97/F97,2))</f>
        <v>0</v>
      </c>
      <c r="N97" s="1" t="str">
        <f aca="false">IF(AND(G97&gt;3000,H97="Approved"),"High-Value Approved",IF(OR(H97="Pending",H97="Unknown"),"Needs Review","Normal"))</f>
        <v>Normal</v>
      </c>
      <c r="O97" s="1" t="str">
        <f aca="false">LEFT(B97,3)</f>
        <v>POL</v>
      </c>
      <c r="P97" s="1" t="str">
        <f aca="false">UPPER(D97)</f>
        <v>TRAVEL</v>
      </c>
      <c r="Q97" s="1" t="n">
        <f aca="true">NETWORKDAYS(C97,TODAY())</f>
        <v>372</v>
      </c>
    </row>
    <row r="98" customFormat="false" ht="15" hidden="false" customHeight="true" outlineLevel="0" collapsed="false">
      <c r="A98" s="1" t="n">
        <v>95</v>
      </c>
      <c r="B98" s="1" t="s">
        <v>116</v>
      </c>
      <c r="C98" s="4" t="n">
        <v>46037</v>
      </c>
      <c r="D98" s="1" t="s">
        <v>19</v>
      </c>
      <c r="E98" s="8" t="n">
        <v>74</v>
      </c>
      <c r="F98" s="9" t="n">
        <v>350.74</v>
      </c>
      <c r="G98" s="9" t="n">
        <v>0</v>
      </c>
      <c r="H98" s="1" t="s">
        <v>10</v>
      </c>
      <c r="I98" s="1" t="s">
        <v>318</v>
      </c>
      <c r="J98" s="8" t="n">
        <f aca="false">YEAR(C98)</f>
        <v>2026</v>
      </c>
      <c r="K98" s="1" t="str">
        <f aca="false">TEXT(C98,"mmm-yyyy")</f>
        <v>Jan-2026</v>
      </c>
      <c r="L98" s="1" t="str">
        <f aca="false">_xlfn.IFS(E98&lt;25,"Young (18-24)",E98&lt;=40,"Adult (25-40)",E98&lt;=60,"Mid-Age (41-60)",TRUE(),"Senior (60+)")</f>
        <v>Senior (60+)</v>
      </c>
      <c r="M98" s="10" t="n">
        <f aca="false">IF(F98=0,0,ROUND(G98/F98,2))</f>
        <v>0</v>
      </c>
      <c r="N98" s="1" t="str">
        <f aca="false">IF(AND(G98&gt;3000,H98="Approved"),"High-Value Approved",IF(OR(H98="Pending",H98="Unknown"),"Needs Review","Normal"))</f>
        <v>Normal</v>
      </c>
      <c r="O98" s="1" t="str">
        <f aca="false">LEFT(B98,3)</f>
        <v>POL</v>
      </c>
      <c r="P98" s="1" t="str">
        <f aca="false">UPPER(D98)</f>
        <v>HEALTH</v>
      </c>
      <c r="Q98" s="1" t="n">
        <f aca="true">NETWORKDAYS(C98,TODAY())</f>
        <v>159</v>
      </c>
    </row>
    <row r="99" customFormat="false" ht="15" hidden="false" customHeight="true" outlineLevel="0" collapsed="false">
      <c r="A99" s="1" t="n">
        <v>96</v>
      </c>
      <c r="B99" s="1" t="s">
        <v>117</v>
      </c>
      <c r="C99" s="4" t="n">
        <v>46052</v>
      </c>
      <c r="D99" s="1" t="s">
        <v>19</v>
      </c>
      <c r="E99" s="8" t="n">
        <v>55</v>
      </c>
      <c r="F99" s="9" t="n">
        <v>373.58</v>
      </c>
      <c r="G99" s="9" t="n">
        <v>1362.06</v>
      </c>
      <c r="H99" s="1" t="s">
        <v>17</v>
      </c>
      <c r="I99" s="1" t="s">
        <v>318</v>
      </c>
      <c r="J99" s="8" t="n">
        <f aca="false">YEAR(C99)</f>
        <v>2026</v>
      </c>
      <c r="K99" s="1" t="str">
        <f aca="false">TEXT(C99,"mmm-yyyy")</f>
        <v>Jan-2026</v>
      </c>
      <c r="L99" s="1" t="str">
        <f aca="false">_xlfn.IFS(E99&lt;25,"Young (18-24)",E99&lt;=40,"Adult (25-40)",E99&lt;=60,"Mid-Age (41-60)",TRUE(),"Senior (60+)")</f>
        <v>Mid-Age (41-60)</v>
      </c>
      <c r="M99" s="10" t="n">
        <f aca="false">IF(F99=0,0,ROUND(G99/F99,2))</f>
        <v>3.65</v>
      </c>
      <c r="N99" s="1" t="str">
        <f aca="false">IF(AND(G99&gt;3000,H99="Approved"),"High-Value Approved",IF(OR(H99="Pending",H99="Unknown"),"Needs Review","Normal"))</f>
        <v>Normal</v>
      </c>
      <c r="O99" s="1" t="str">
        <f aca="false">LEFT(B99,3)</f>
        <v>POL</v>
      </c>
      <c r="P99" s="1" t="str">
        <f aca="false">UPPER(D99)</f>
        <v>HEALTH</v>
      </c>
      <c r="Q99" s="1" t="n">
        <f aca="true">NETWORKDAYS(C99,TODAY())</f>
        <v>148</v>
      </c>
    </row>
    <row r="100" customFormat="false" ht="15" hidden="false" customHeight="true" outlineLevel="0" collapsed="false">
      <c r="A100" s="1" t="n">
        <v>97</v>
      </c>
      <c r="B100" s="1" t="s">
        <v>118</v>
      </c>
      <c r="C100" s="4" t="n">
        <v>46022</v>
      </c>
      <c r="D100" s="1" t="s">
        <v>16</v>
      </c>
      <c r="E100" s="8" t="n">
        <v>70</v>
      </c>
      <c r="F100" s="9" t="n">
        <v>542.2</v>
      </c>
      <c r="G100" s="9" t="n">
        <v>0</v>
      </c>
      <c r="H100" s="1" t="s">
        <v>10</v>
      </c>
      <c r="I100" s="1" t="s">
        <v>318</v>
      </c>
      <c r="J100" s="8" t="n">
        <f aca="false">YEAR(C100)</f>
        <v>2025</v>
      </c>
      <c r="K100" s="1" t="str">
        <f aca="false">TEXT(C100,"mmm-yyyy")</f>
        <v>Dec-2025</v>
      </c>
      <c r="L100" s="1" t="str">
        <f aca="false">_xlfn.IFS(E100&lt;25,"Young (18-24)",E100&lt;=40,"Adult (25-40)",E100&lt;=60,"Mid-Age (41-60)",TRUE(),"Senior (60+)")</f>
        <v>Senior (60+)</v>
      </c>
      <c r="M100" s="10" t="n">
        <f aca="false">IF(F100=0,0,ROUND(G100/F100,2))</f>
        <v>0</v>
      </c>
      <c r="N100" s="1" t="str">
        <f aca="false">IF(AND(G100&gt;3000,H100="Approved"),"High-Value Approved",IF(OR(H100="Pending",H100="Unknown"),"Needs Review","Normal"))</f>
        <v>Normal</v>
      </c>
      <c r="O100" s="1" t="str">
        <f aca="false">LEFT(B100,3)</f>
        <v>POL</v>
      </c>
      <c r="P100" s="1" t="str">
        <f aca="false">UPPER(D100)</f>
        <v>PROPERTY</v>
      </c>
      <c r="Q100" s="1" t="n">
        <f aca="true">NETWORKDAYS(C100,TODAY())</f>
        <v>170</v>
      </c>
    </row>
    <row r="101" customFormat="false" ht="15" hidden="false" customHeight="true" outlineLevel="0" collapsed="false">
      <c r="A101" s="1" t="n">
        <v>98</v>
      </c>
      <c r="B101" s="1" t="s">
        <v>119</v>
      </c>
      <c r="C101" s="4" t="n">
        <v>46162</v>
      </c>
      <c r="D101" s="1" t="s">
        <v>9</v>
      </c>
      <c r="E101" s="8" t="n">
        <v>45</v>
      </c>
      <c r="F101" s="9" t="n">
        <v>512.04</v>
      </c>
      <c r="G101" s="9" t="n">
        <v>828.81</v>
      </c>
      <c r="H101" s="1" t="s">
        <v>17</v>
      </c>
      <c r="I101" s="1" t="s">
        <v>319</v>
      </c>
      <c r="J101" s="8" t="n">
        <f aca="false">YEAR(C101)</f>
        <v>2026</v>
      </c>
      <c r="K101" s="1" t="str">
        <f aca="false">TEXT(C101,"mmm-yyyy")</f>
        <v>May-2026</v>
      </c>
      <c r="L101" s="1" t="str">
        <f aca="false">_xlfn.IFS(E101&lt;25,"Young (18-24)",E101&lt;=40,"Adult (25-40)",E101&lt;=60,"Mid-Age (41-60)",TRUE(),"Senior (60+)")</f>
        <v>Mid-Age (41-60)</v>
      </c>
      <c r="M101" s="10" t="n">
        <f aca="false">IF(F101=0,0,ROUND(G101/F101,2))</f>
        <v>1.62</v>
      </c>
      <c r="N101" s="1" t="str">
        <f aca="false">IF(AND(G101&gt;3000,H101="Approved"),"High-Value Approved",IF(OR(H101="Pending",H101="Unknown"),"Needs Review","Normal"))</f>
        <v>Normal</v>
      </c>
      <c r="O101" s="1" t="str">
        <f aca="false">LEFT(B101,3)</f>
        <v>POL</v>
      </c>
      <c r="P101" s="1" t="str">
        <f aca="false">UPPER(D101)</f>
        <v>LIFE</v>
      </c>
      <c r="Q101" s="1" t="n">
        <f aca="true">NETWORKDAYS(C101,TODAY())</f>
        <v>70</v>
      </c>
    </row>
    <row r="102" customFormat="false" ht="15" hidden="false" customHeight="true" outlineLevel="0" collapsed="false">
      <c r="A102" s="1" t="n">
        <v>99</v>
      </c>
      <c r="B102" s="1" t="s">
        <v>120</v>
      </c>
      <c r="C102" s="4" t="n">
        <v>46050</v>
      </c>
      <c r="D102" s="1" t="s">
        <v>9</v>
      </c>
      <c r="E102" s="8" t="n">
        <v>63</v>
      </c>
      <c r="F102" s="9" t="n">
        <v>343.2</v>
      </c>
      <c r="G102" s="9" t="n">
        <v>3228.11</v>
      </c>
      <c r="H102" s="1" t="s">
        <v>13</v>
      </c>
      <c r="I102" s="1" t="s">
        <v>318</v>
      </c>
      <c r="J102" s="8" t="n">
        <f aca="false">YEAR(C102)</f>
        <v>2026</v>
      </c>
      <c r="K102" s="1" t="str">
        <f aca="false">TEXT(C102,"mmm-yyyy")</f>
        <v>Jan-2026</v>
      </c>
      <c r="L102" s="1" t="str">
        <f aca="false">_xlfn.IFS(E102&lt;25,"Young (18-24)",E102&lt;=40,"Adult (25-40)",E102&lt;=60,"Mid-Age (41-60)",TRUE(),"Senior (60+)")</f>
        <v>Senior (60+)</v>
      </c>
      <c r="M102" s="10" t="n">
        <f aca="false">IF(F102=0,0,ROUND(G102/F102,2))</f>
        <v>9.41</v>
      </c>
      <c r="N102" s="1" t="str">
        <f aca="false">IF(AND(G102&gt;3000,H102="Approved"),"High-Value Approved",IF(OR(H102="Pending",H102="Unknown"),"Needs Review","Normal"))</f>
        <v>Needs Review</v>
      </c>
      <c r="O102" s="1" t="str">
        <f aca="false">LEFT(B102,3)</f>
        <v>POL</v>
      </c>
      <c r="P102" s="1" t="str">
        <f aca="false">UPPER(D102)</f>
        <v>LIFE</v>
      </c>
      <c r="Q102" s="1" t="n">
        <f aca="true">NETWORKDAYS(C102,TODAY())</f>
        <v>150</v>
      </c>
    </row>
    <row r="103" customFormat="false" ht="15" hidden="false" customHeight="true" outlineLevel="0" collapsed="false">
      <c r="A103" s="1" t="n">
        <v>100</v>
      </c>
      <c r="B103" s="1" t="s">
        <v>121</v>
      </c>
      <c r="C103" s="4" t="n">
        <v>45911</v>
      </c>
      <c r="D103" s="1" t="s">
        <v>12</v>
      </c>
      <c r="E103" s="8" t="n">
        <v>31</v>
      </c>
      <c r="F103" s="9" t="n">
        <v>210.02</v>
      </c>
      <c r="G103" s="9" t="n">
        <v>0</v>
      </c>
      <c r="H103" s="1" t="s">
        <v>10</v>
      </c>
      <c r="I103" s="1" t="s">
        <v>318</v>
      </c>
      <c r="J103" s="8" t="n">
        <f aca="false">YEAR(C103)</f>
        <v>2025</v>
      </c>
      <c r="K103" s="1" t="str">
        <f aca="false">TEXT(C103,"mmm-yyyy")</f>
        <v>Sep-2025</v>
      </c>
      <c r="L103" s="1" t="str">
        <f aca="false">_xlfn.IFS(E103&lt;25,"Young (18-24)",E103&lt;=40,"Adult (25-40)",E103&lt;=60,"Mid-Age (41-60)",TRUE(),"Senior (60+)")</f>
        <v>Adult (25-40)</v>
      </c>
      <c r="M103" s="10" t="n">
        <f aca="false">IF(F103=0,0,ROUND(G103/F103,2))</f>
        <v>0</v>
      </c>
      <c r="N103" s="1" t="str">
        <f aca="false">IF(AND(G103&gt;3000,H103="Approved"),"High-Value Approved",IF(OR(H103="Pending",H103="Unknown"),"Needs Review","Normal"))</f>
        <v>Normal</v>
      </c>
      <c r="O103" s="1" t="str">
        <f aca="false">LEFT(B103,3)</f>
        <v>POL</v>
      </c>
      <c r="P103" s="1" t="str">
        <f aca="false">UPPER(D103)</f>
        <v>MOTOR</v>
      </c>
      <c r="Q103" s="1" t="n">
        <f aca="true">NETWORKDAYS(C103,TODAY())</f>
        <v>249</v>
      </c>
    </row>
    <row r="104" customFormat="false" ht="15" hidden="false" customHeight="true" outlineLevel="0" collapsed="false">
      <c r="A104" s="1" t="n">
        <v>101</v>
      </c>
      <c r="B104" s="1" t="s">
        <v>122</v>
      </c>
      <c r="C104" s="4" t="n">
        <v>45897</v>
      </c>
      <c r="D104" s="1" t="s">
        <v>12</v>
      </c>
      <c r="E104" s="8" t="n">
        <v>37</v>
      </c>
      <c r="F104" s="9" t="n">
        <v>214.36</v>
      </c>
      <c r="G104" s="9" t="n">
        <v>710.18</v>
      </c>
      <c r="H104" s="1" t="s">
        <v>30</v>
      </c>
      <c r="I104" s="1" t="s">
        <v>318</v>
      </c>
      <c r="J104" s="8" t="n">
        <f aca="false">YEAR(C104)</f>
        <v>2025</v>
      </c>
      <c r="K104" s="1" t="str">
        <f aca="false">TEXT(C104,"mmm-yyyy")</f>
        <v>Aug-2025</v>
      </c>
      <c r="L104" s="1" t="str">
        <f aca="false">_xlfn.IFS(E104&lt;25,"Young (18-24)",E104&lt;=40,"Adult (25-40)",E104&lt;=60,"Mid-Age (41-60)",TRUE(),"Senior (60+)")</f>
        <v>Adult (25-40)</v>
      </c>
      <c r="M104" s="10" t="n">
        <f aca="false">IF(F104=0,0,ROUND(G104/F104,2))</f>
        <v>3.31</v>
      </c>
      <c r="N104" s="1" t="str">
        <f aca="false">IF(AND(G104&gt;3000,H104="Approved"),"High-Value Approved",IF(OR(H104="Pending",H104="Unknown"),"Needs Review","Normal"))</f>
        <v>Normal</v>
      </c>
      <c r="O104" s="1" t="str">
        <f aca="false">LEFT(B104,3)</f>
        <v>POL</v>
      </c>
      <c r="P104" s="1" t="str">
        <f aca="false">UPPER(D104)</f>
        <v>MOTOR</v>
      </c>
      <c r="Q104" s="1" t="n">
        <f aca="true">NETWORKDAYS(C104,TODAY())</f>
        <v>259</v>
      </c>
    </row>
    <row r="105" customFormat="false" ht="15" hidden="false" customHeight="true" outlineLevel="0" collapsed="false">
      <c r="A105" s="1" t="n">
        <v>102</v>
      </c>
      <c r="B105" s="1" t="s">
        <v>124</v>
      </c>
      <c r="C105" s="4" t="n">
        <v>45866</v>
      </c>
      <c r="D105" s="1" t="s">
        <v>16</v>
      </c>
      <c r="E105" s="8" t="n">
        <v>80</v>
      </c>
      <c r="F105" s="9" t="n">
        <v>538.52</v>
      </c>
      <c r="G105" s="9" t="n">
        <v>2781.42</v>
      </c>
      <c r="H105" s="1" t="s">
        <v>38</v>
      </c>
      <c r="I105" s="1" t="s">
        <v>321</v>
      </c>
      <c r="J105" s="8" t="n">
        <f aca="false">YEAR(C105)</f>
        <v>2025</v>
      </c>
      <c r="K105" s="1" t="str">
        <f aca="false">TEXT(C105,"mmm-yyyy")</f>
        <v>Jul-2025</v>
      </c>
      <c r="L105" s="1" t="str">
        <f aca="false">_xlfn.IFS(E105&lt;25,"Young (18-24)",E105&lt;=40,"Adult (25-40)",E105&lt;=60,"Mid-Age (41-60)",TRUE(),"Senior (60+)")</f>
        <v>Senior (60+)</v>
      </c>
      <c r="M105" s="10" t="n">
        <f aca="false">IF(F105=0,0,ROUND(G105/F105,2))</f>
        <v>5.16</v>
      </c>
      <c r="N105" s="1" t="str">
        <f aca="false">IF(AND(G105&gt;3000,H105="Approved"),"High-Value Approved",IF(OR(H105="Pending",H105="Unknown"),"Needs Review","Normal"))</f>
        <v>Needs Review</v>
      </c>
      <c r="O105" s="1" t="str">
        <f aca="false">LEFT(B105,3)</f>
        <v>POL</v>
      </c>
      <c r="P105" s="1" t="str">
        <f aca="false">UPPER(D105)</f>
        <v>PROPERTY</v>
      </c>
      <c r="Q105" s="1" t="n">
        <f aca="true">NETWORKDAYS(C105,TODAY())</f>
        <v>282</v>
      </c>
    </row>
    <row r="106" customFormat="false" ht="15" hidden="false" customHeight="true" outlineLevel="0" collapsed="false">
      <c r="A106" s="1" t="n">
        <v>103</v>
      </c>
      <c r="B106" s="1" t="s">
        <v>125</v>
      </c>
      <c r="C106" s="4" t="n">
        <v>45741</v>
      </c>
      <c r="D106" s="1" t="s">
        <v>12</v>
      </c>
      <c r="E106" s="8" t="n">
        <v>58</v>
      </c>
      <c r="F106" s="9" t="n">
        <v>242.61</v>
      </c>
      <c r="G106" s="9" t="n">
        <v>2987.82</v>
      </c>
      <c r="H106" s="1" t="s">
        <v>17</v>
      </c>
      <c r="I106" s="1" t="s">
        <v>318</v>
      </c>
      <c r="J106" s="8" t="n">
        <f aca="false">YEAR(C106)</f>
        <v>2025</v>
      </c>
      <c r="K106" s="1" t="str">
        <f aca="false">TEXT(C106,"mmm-yyyy")</f>
        <v>Mar-2025</v>
      </c>
      <c r="L106" s="1" t="str">
        <f aca="false">_xlfn.IFS(E106&lt;25,"Young (18-24)",E106&lt;=40,"Adult (25-40)",E106&lt;=60,"Mid-Age (41-60)",TRUE(),"Senior (60+)")</f>
        <v>Mid-Age (41-60)</v>
      </c>
      <c r="M106" s="10" t="n">
        <f aca="false">IF(F106=0,0,ROUND(G106/F106,2))</f>
        <v>12.32</v>
      </c>
      <c r="N106" s="1" t="str">
        <f aca="false">IF(AND(G106&gt;3000,H106="Approved"),"High-Value Approved",IF(OR(H106="Pending",H106="Unknown"),"Needs Review","Normal"))</f>
        <v>Normal</v>
      </c>
      <c r="O106" s="1" t="str">
        <f aca="false">LEFT(B106,3)</f>
        <v>POL</v>
      </c>
      <c r="P106" s="1" t="str">
        <f aca="false">UPPER(D106)</f>
        <v>MOTOR</v>
      </c>
      <c r="Q106" s="1" t="n">
        <f aca="true">NETWORKDAYS(C106,TODAY())</f>
        <v>371</v>
      </c>
    </row>
    <row r="107" customFormat="false" ht="15" hidden="false" customHeight="true" outlineLevel="0" collapsed="false">
      <c r="A107" s="1" t="n">
        <v>104</v>
      </c>
      <c r="B107" s="1" t="s">
        <v>126</v>
      </c>
      <c r="C107" s="4" t="n">
        <v>46049</v>
      </c>
      <c r="D107" s="1" t="s">
        <v>19</v>
      </c>
      <c r="E107" s="8" t="n">
        <v>57</v>
      </c>
      <c r="F107" s="9" t="n">
        <v>344.16</v>
      </c>
      <c r="G107" s="9" t="n">
        <v>0</v>
      </c>
      <c r="H107" s="1" t="s">
        <v>10</v>
      </c>
      <c r="I107" s="1" t="s">
        <v>322</v>
      </c>
      <c r="J107" s="8" t="n">
        <f aca="false">YEAR(C107)</f>
        <v>2026</v>
      </c>
      <c r="K107" s="1" t="str">
        <f aca="false">TEXT(C107,"mmm-yyyy")</f>
        <v>Jan-2026</v>
      </c>
      <c r="L107" s="1" t="str">
        <f aca="false">_xlfn.IFS(E107&lt;25,"Young (18-24)",E107&lt;=40,"Adult (25-40)",E107&lt;=60,"Mid-Age (41-60)",TRUE(),"Senior (60+)")</f>
        <v>Mid-Age (41-60)</v>
      </c>
      <c r="M107" s="10" t="n">
        <f aca="false">IF(F107=0,0,ROUND(G107/F107,2))</f>
        <v>0</v>
      </c>
      <c r="N107" s="1" t="str">
        <f aca="false">IF(AND(G107&gt;3000,H107="Approved"),"High-Value Approved",IF(OR(H107="Pending",H107="Unknown"),"Needs Review","Normal"))</f>
        <v>Normal</v>
      </c>
      <c r="O107" s="1" t="str">
        <f aca="false">LEFT(B107,3)</f>
        <v>POL</v>
      </c>
      <c r="P107" s="1" t="str">
        <f aca="false">UPPER(D107)</f>
        <v>HEALTH</v>
      </c>
      <c r="Q107" s="1" t="n">
        <f aca="true">NETWORKDAYS(C107,TODAY())</f>
        <v>151</v>
      </c>
    </row>
    <row r="108" customFormat="false" ht="15" hidden="false" customHeight="true" outlineLevel="0" collapsed="false">
      <c r="A108" s="1" t="n">
        <v>105</v>
      </c>
      <c r="B108" s="1" t="s">
        <v>127</v>
      </c>
      <c r="C108" s="4" t="n">
        <v>45910</v>
      </c>
      <c r="D108" s="1" t="s">
        <v>9</v>
      </c>
      <c r="E108" s="8" t="n">
        <v>33</v>
      </c>
      <c r="F108" s="9" t="n">
        <v>455.93</v>
      </c>
      <c r="G108" s="9" t="n">
        <v>4358.4</v>
      </c>
      <c r="H108" s="1" t="s">
        <v>38</v>
      </c>
      <c r="I108" s="1" t="s">
        <v>321</v>
      </c>
      <c r="J108" s="8" t="n">
        <f aca="false">YEAR(C108)</f>
        <v>2025</v>
      </c>
      <c r="K108" s="1" t="str">
        <f aca="false">TEXT(C108,"mmm-yyyy")</f>
        <v>Sep-2025</v>
      </c>
      <c r="L108" s="1" t="str">
        <f aca="false">_xlfn.IFS(E108&lt;25,"Young (18-24)",E108&lt;=40,"Adult (25-40)",E108&lt;=60,"Mid-Age (41-60)",TRUE(),"Senior (60+)")</f>
        <v>Adult (25-40)</v>
      </c>
      <c r="M108" s="10" t="n">
        <f aca="false">IF(F108=0,0,ROUND(G108/F108,2))</f>
        <v>9.56</v>
      </c>
      <c r="N108" s="1" t="str">
        <f aca="false">IF(AND(G108&gt;3000,H108="Approved"),"High-Value Approved",IF(OR(H108="Pending",H108="Unknown"),"Needs Review","Normal"))</f>
        <v>Needs Review</v>
      </c>
      <c r="O108" s="1" t="str">
        <f aca="false">LEFT(B108,3)</f>
        <v>POL</v>
      </c>
      <c r="P108" s="1" t="str">
        <f aca="false">UPPER(D108)</f>
        <v>LIFE</v>
      </c>
      <c r="Q108" s="1" t="n">
        <f aca="true">NETWORKDAYS(C108,TODAY())</f>
        <v>250</v>
      </c>
    </row>
    <row r="109" customFormat="false" ht="15" hidden="false" customHeight="true" outlineLevel="0" collapsed="false">
      <c r="A109" s="1" t="n">
        <v>106</v>
      </c>
      <c r="B109" s="1" t="s">
        <v>128</v>
      </c>
      <c r="C109" s="4" t="n">
        <v>45878</v>
      </c>
      <c r="D109" s="1" t="s">
        <v>16</v>
      </c>
      <c r="E109" s="8" t="n">
        <v>60</v>
      </c>
      <c r="F109" s="9" t="n">
        <v>345.58</v>
      </c>
      <c r="G109" s="9" t="n">
        <v>3094.19</v>
      </c>
      <c r="H109" s="1" t="s">
        <v>17</v>
      </c>
      <c r="I109" s="1" t="s">
        <v>318</v>
      </c>
      <c r="J109" s="8" t="n">
        <f aca="false">YEAR(C109)</f>
        <v>2025</v>
      </c>
      <c r="K109" s="1" t="str">
        <f aca="false">TEXT(C109,"mmm-yyyy")</f>
        <v>Aug-2025</v>
      </c>
      <c r="L109" s="1" t="str">
        <f aca="false">_xlfn.IFS(E109&lt;25,"Young (18-24)",E109&lt;=40,"Adult (25-40)",E109&lt;=60,"Mid-Age (41-60)",TRUE(),"Senior (60+)")</f>
        <v>Mid-Age (41-60)</v>
      </c>
      <c r="M109" s="10" t="n">
        <f aca="false">IF(F109=0,0,ROUND(G109/F109,2))</f>
        <v>8.95</v>
      </c>
      <c r="N109" s="1" t="str">
        <f aca="false">IF(AND(G109&gt;3000,H109="Approved"),"High-Value Approved",IF(OR(H109="Pending",H109="Unknown"),"Needs Review","Normal"))</f>
        <v>High-Value Approved</v>
      </c>
      <c r="O109" s="1" t="str">
        <f aca="false">LEFT(B109,3)</f>
        <v>POL</v>
      </c>
      <c r="P109" s="1" t="str">
        <f aca="false">UPPER(D109)</f>
        <v>PROPERTY</v>
      </c>
      <c r="Q109" s="1" t="n">
        <f aca="true">NETWORKDAYS(C109,TODAY())</f>
        <v>272</v>
      </c>
    </row>
    <row r="110" customFormat="false" ht="15" hidden="false" customHeight="true" outlineLevel="0" collapsed="false">
      <c r="A110" s="1" t="n">
        <v>107</v>
      </c>
      <c r="B110" s="1" t="s">
        <v>129</v>
      </c>
      <c r="C110" s="4" t="n">
        <v>46170</v>
      </c>
      <c r="D110" s="1" t="s">
        <v>16</v>
      </c>
      <c r="E110" s="8" t="n">
        <v>51</v>
      </c>
      <c r="F110" s="9" t="n">
        <v>387.51</v>
      </c>
      <c r="G110" s="9" t="n">
        <v>708.18</v>
      </c>
      <c r="H110" s="1" t="s">
        <v>13</v>
      </c>
      <c r="I110" s="1" t="s">
        <v>318</v>
      </c>
      <c r="J110" s="8" t="n">
        <f aca="false">YEAR(C110)</f>
        <v>2026</v>
      </c>
      <c r="K110" s="1" t="str">
        <f aca="false">TEXT(C110,"mmm-yyyy")</f>
        <v>May-2026</v>
      </c>
      <c r="L110" s="1" t="str">
        <f aca="false">_xlfn.IFS(E110&lt;25,"Young (18-24)",E110&lt;=40,"Adult (25-40)",E110&lt;=60,"Mid-Age (41-60)",TRUE(),"Senior (60+)")</f>
        <v>Mid-Age (41-60)</v>
      </c>
      <c r="M110" s="10" t="n">
        <f aca="false">IF(F110=0,0,ROUND(G110/F110,2))</f>
        <v>1.83</v>
      </c>
      <c r="N110" s="1" t="str">
        <f aca="false">IF(AND(G110&gt;3000,H110="Approved"),"High-Value Approved",IF(OR(H110="Pending",H110="Unknown"),"Needs Review","Normal"))</f>
        <v>Needs Review</v>
      </c>
      <c r="O110" s="1" t="str">
        <f aca="false">LEFT(B110,3)</f>
        <v>POL</v>
      </c>
      <c r="P110" s="1" t="str">
        <f aca="false">UPPER(D110)</f>
        <v>PROPERTY</v>
      </c>
      <c r="Q110" s="1" t="n">
        <f aca="true">NETWORKDAYS(C110,TODAY())</f>
        <v>64</v>
      </c>
    </row>
    <row r="111" customFormat="false" ht="15" hidden="false" customHeight="true" outlineLevel="0" collapsed="false">
      <c r="A111" s="1" t="n">
        <v>108</v>
      </c>
      <c r="B111" s="1" t="s">
        <v>130</v>
      </c>
      <c r="C111" s="4" t="n">
        <v>45789</v>
      </c>
      <c r="D111" s="1" t="s">
        <v>9</v>
      </c>
      <c r="E111" s="8" t="n">
        <v>35</v>
      </c>
      <c r="F111" s="9" t="n">
        <v>413.02</v>
      </c>
      <c r="G111" s="9" t="n">
        <v>0</v>
      </c>
      <c r="H111" s="1" t="s">
        <v>10</v>
      </c>
      <c r="I111" s="1" t="s">
        <v>320</v>
      </c>
      <c r="J111" s="8" t="n">
        <f aca="false">YEAR(C111)</f>
        <v>2025</v>
      </c>
      <c r="K111" s="1" t="str">
        <f aca="false">TEXT(C111,"mmm-yyyy")</f>
        <v>May-2025</v>
      </c>
      <c r="L111" s="1" t="str">
        <f aca="false">_xlfn.IFS(E111&lt;25,"Young (18-24)",E111&lt;=40,"Adult (25-40)",E111&lt;=60,"Mid-Age (41-60)",TRUE(),"Senior (60+)")</f>
        <v>Adult (25-40)</v>
      </c>
      <c r="M111" s="10" t="n">
        <f aca="false">IF(F111=0,0,ROUND(G111/F111,2))</f>
        <v>0</v>
      </c>
      <c r="N111" s="1" t="str">
        <f aca="false">IF(AND(G111&gt;3000,H111="Approved"),"High-Value Approved",IF(OR(H111="Pending",H111="Unknown"),"Needs Review","Normal"))</f>
        <v>Normal</v>
      </c>
      <c r="O111" s="1" t="str">
        <f aca="false">LEFT(B111,3)</f>
        <v>POL</v>
      </c>
      <c r="P111" s="1" t="str">
        <f aca="false">UPPER(D111)</f>
        <v>LIFE</v>
      </c>
      <c r="Q111" s="1" t="n">
        <f aca="true">NETWORKDAYS(C111,TODAY())</f>
        <v>337</v>
      </c>
    </row>
    <row r="112" customFormat="false" ht="15" hidden="false" customHeight="true" outlineLevel="0" collapsed="false">
      <c r="A112" s="1" t="n">
        <v>109</v>
      </c>
      <c r="B112" s="1" t="s">
        <v>131</v>
      </c>
      <c r="C112" s="4" t="n">
        <v>46191</v>
      </c>
      <c r="D112" s="1" t="s">
        <v>19</v>
      </c>
      <c r="E112" s="8" t="n">
        <v>46</v>
      </c>
      <c r="F112" s="9" t="n">
        <v>434.09</v>
      </c>
      <c r="G112" s="9" t="n">
        <v>541.76</v>
      </c>
      <c r="H112" s="1" t="s">
        <v>17</v>
      </c>
      <c r="I112" s="1" t="s">
        <v>319</v>
      </c>
      <c r="J112" s="8" t="n">
        <f aca="false">YEAR(C112)</f>
        <v>2026</v>
      </c>
      <c r="K112" s="1" t="str">
        <f aca="false">TEXT(C112,"mmm-yyyy")</f>
        <v>Jun-2026</v>
      </c>
      <c r="L112" s="1" t="str">
        <f aca="false">_xlfn.IFS(E112&lt;25,"Young (18-24)",E112&lt;=40,"Adult (25-40)",E112&lt;=60,"Mid-Age (41-60)",TRUE(),"Senior (60+)")</f>
        <v>Mid-Age (41-60)</v>
      </c>
      <c r="M112" s="10" t="n">
        <f aca="false">IF(F112=0,0,ROUND(G112/F112,2))</f>
        <v>1.25</v>
      </c>
      <c r="N112" s="1" t="str">
        <f aca="false">IF(AND(G112&gt;3000,H112="Approved"),"High-Value Approved",IF(OR(H112="Pending",H112="Unknown"),"Needs Review","Normal"))</f>
        <v>Normal</v>
      </c>
      <c r="O112" s="1" t="str">
        <f aca="false">LEFT(B112,3)</f>
        <v>POL</v>
      </c>
      <c r="P112" s="1" t="str">
        <f aca="false">UPPER(D112)</f>
        <v>HEALTH</v>
      </c>
      <c r="Q112" s="1" t="n">
        <f aca="true">NETWORKDAYS(C112,TODAY())</f>
        <v>49</v>
      </c>
    </row>
    <row r="113" customFormat="false" ht="15" hidden="false" customHeight="true" outlineLevel="0" collapsed="false">
      <c r="A113" s="1" t="n">
        <v>110</v>
      </c>
      <c r="B113" s="1" t="s">
        <v>132</v>
      </c>
      <c r="C113" s="4" t="n">
        <v>45999</v>
      </c>
      <c r="D113" s="1" t="s">
        <v>12</v>
      </c>
      <c r="E113" s="8" t="n">
        <v>19</v>
      </c>
      <c r="F113" s="9" t="n">
        <v>358.18</v>
      </c>
      <c r="G113" s="9" t="n">
        <v>1870.3</v>
      </c>
      <c r="H113" s="1" t="s">
        <v>17</v>
      </c>
      <c r="I113" s="1" t="s">
        <v>318</v>
      </c>
      <c r="J113" s="8" t="n">
        <f aca="false">YEAR(C113)</f>
        <v>2025</v>
      </c>
      <c r="K113" s="1" t="str">
        <f aca="false">TEXT(C113,"mmm-yyyy")</f>
        <v>Dec-2025</v>
      </c>
      <c r="L113" s="1" t="str">
        <f aca="false">_xlfn.IFS(E113&lt;25,"Young (18-24)",E113&lt;=40,"Adult (25-40)",E113&lt;=60,"Mid-Age (41-60)",TRUE(),"Senior (60+)")</f>
        <v>Young (18-24)</v>
      </c>
      <c r="M113" s="10" t="n">
        <f aca="false">IF(F113=0,0,ROUND(G113/F113,2))</f>
        <v>5.22</v>
      </c>
      <c r="N113" s="1" t="str">
        <f aca="false">IF(AND(G113&gt;3000,H113="Approved"),"High-Value Approved",IF(OR(H113="Pending",H113="Unknown"),"Needs Review","Normal"))</f>
        <v>Normal</v>
      </c>
      <c r="O113" s="1" t="str">
        <f aca="false">LEFT(B113,3)</f>
        <v>POL</v>
      </c>
      <c r="P113" s="1" t="str">
        <f aca="false">UPPER(D113)</f>
        <v>MOTOR</v>
      </c>
      <c r="Q113" s="1" t="n">
        <f aca="true">NETWORKDAYS(C113,TODAY())</f>
        <v>187</v>
      </c>
    </row>
    <row r="114" customFormat="false" ht="15" hidden="false" customHeight="true" outlineLevel="0" collapsed="false">
      <c r="A114" s="1" t="n">
        <v>111</v>
      </c>
      <c r="B114" s="1" t="s">
        <v>133</v>
      </c>
      <c r="C114" s="4" t="n">
        <v>46027</v>
      </c>
      <c r="D114" s="1" t="s">
        <v>16</v>
      </c>
      <c r="E114" s="8" t="n">
        <v>30</v>
      </c>
      <c r="F114" s="9" t="n">
        <v>389.49</v>
      </c>
      <c r="G114" s="9" t="n">
        <v>0</v>
      </c>
      <c r="H114" s="1" t="s">
        <v>10</v>
      </c>
      <c r="I114" s="1" t="s">
        <v>318</v>
      </c>
      <c r="J114" s="8" t="n">
        <f aca="false">YEAR(C114)</f>
        <v>2026</v>
      </c>
      <c r="K114" s="1" t="str">
        <f aca="false">TEXT(C114,"mmm-yyyy")</f>
        <v>Jan-2026</v>
      </c>
      <c r="L114" s="1" t="str">
        <f aca="false">_xlfn.IFS(E114&lt;25,"Young (18-24)",E114&lt;=40,"Adult (25-40)",E114&lt;=60,"Mid-Age (41-60)",TRUE(),"Senior (60+)")</f>
        <v>Adult (25-40)</v>
      </c>
      <c r="M114" s="10" t="n">
        <f aca="false">IF(F114=0,0,ROUND(G114/F114,2))</f>
        <v>0</v>
      </c>
      <c r="N114" s="1" t="str">
        <f aca="false">IF(AND(G114&gt;3000,H114="Approved"),"High-Value Approved",IF(OR(H114="Pending",H114="Unknown"),"Needs Review","Normal"))</f>
        <v>Normal</v>
      </c>
      <c r="O114" s="1" t="str">
        <f aca="false">LEFT(B114,3)</f>
        <v>POL</v>
      </c>
      <c r="P114" s="1" t="str">
        <f aca="false">UPPER(D114)</f>
        <v>PROPERTY</v>
      </c>
      <c r="Q114" s="1" t="n">
        <f aca="true">NETWORKDAYS(C114,TODAY())</f>
        <v>167</v>
      </c>
    </row>
    <row r="115" customFormat="false" ht="15" hidden="false" customHeight="true" outlineLevel="0" collapsed="false">
      <c r="A115" s="1" t="n">
        <v>112</v>
      </c>
      <c r="B115" s="1" t="s">
        <v>134</v>
      </c>
      <c r="C115" s="4" t="n">
        <v>45915</v>
      </c>
      <c r="D115" s="1" t="s">
        <v>40</v>
      </c>
      <c r="E115" s="8" t="n">
        <v>33</v>
      </c>
      <c r="F115" s="9" t="n">
        <v>113.63</v>
      </c>
      <c r="G115" s="9" t="n">
        <v>894.28</v>
      </c>
      <c r="H115" s="1" t="s">
        <v>30</v>
      </c>
      <c r="I115" s="1" t="s">
        <v>318</v>
      </c>
      <c r="J115" s="8" t="n">
        <f aca="false">YEAR(C115)</f>
        <v>2025</v>
      </c>
      <c r="K115" s="1" t="str">
        <f aca="false">TEXT(C115,"mmm-yyyy")</f>
        <v>Sep-2025</v>
      </c>
      <c r="L115" s="1" t="str">
        <f aca="false">_xlfn.IFS(E115&lt;25,"Young (18-24)",E115&lt;=40,"Adult (25-40)",E115&lt;=60,"Mid-Age (41-60)",TRUE(),"Senior (60+)")</f>
        <v>Adult (25-40)</v>
      </c>
      <c r="M115" s="10" t="n">
        <f aca="false">IF(F115=0,0,ROUND(G115/F115,2))</f>
        <v>7.87</v>
      </c>
      <c r="N115" s="1" t="str">
        <f aca="false">IF(AND(G115&gt;3000,H115="Approved"),"High-Value Approved",IF(OR(H115="Pending",H115="Unknown"),"Needs Review","Normal"))</f>
        <v>Normal</v>
      </c>
      <c r="O115" s="1" t="str">
        <f aca="false">LEFT(B115,3)</f>
        <v>POL</v>
      </c>
      <c r="P115" s="1" t="str">
        <f aca="false">UPPER(D115)</f>
        <v>TRAVEL</v>
      </c>
      <c r="Q115" s="1" t="n">
        <f aca="true">NETWORKDAYS(C115,TODAY())</f>
        <v>247</v>
      </c>
    </row>
    <row r="116" customFormat="false" ht="15" hidden="false" customHeight="true" outlineLevel="0" collapsed="false">
      <c r="A116" s="1" t="n">
        <v>113</v>
      </c>
      <c r="B116" s="1" t="s">
        <v>135</v>
      </c>
      <c r="C116" s="4" t="n">
        <v>45660</v>
      </c>
      <c r="D116" s="1" t="s">
        <v>12</v>
      </c>
      <c r="E116" s="8" t="n">
        <v>40</v>
      </c>
      <c r="F116" s="9" t="n">
        <v>267.41</v>
      </c>
      <c r="G116" s="9" t="n">
        <v>0</v>
      </c>
      <c r="H116" s="1" t="s">
        <v>10</v>
      </c>
      <c r="I116" s="1" t="s">
        <v>318</v>
      </c>
      <c r="J116" s="8" t="n">
        <f aca="false">YEAR(C116)</f>
        <v>2025</v>
      </c>
      <c r="K116" s="1" t="str">
        <f aca="false">TEXT(C116,"mmm-yyyy")</f>
        <v>Jan-2025</v>
      </c>
      <c r="L116" s="1" t="str">
        <f aca="false">_xlfn.IFS(E116&lt;25,"Young (18-24)",E116&lt;=40,"Adult (25-40)",E116&lt;=60,"Mid-Age (41-60)",TRUE(),"Senior (60+)")</f>
        <v>Adult (25-40)</v>
      </c>
      <c r="M116" s="10" t="n">
        <f aca="false">IF(F116=0,0,ROUND(G116/F116,2))</f>
        <v>0</v>
      </c>
      <c r="N116" s="1" t="str">
        <f aca="false">IF(AND(G116&gt;3000,H116="Approved"),"High-Value Approved",IF(OR(H116="Pending",H116="Unknown"),"Needs Review","Normal"))</f>
        <v>Normal</v>
      </c>
      <c r="O116" s="1" t="str">
        <f aca="false">LEFT(B116,3)</f>
        <v>POL</v>
      </c>
      <c r="P116" s="1" t="str">
        <f aca="false">UPPER(D116)</f>
        <v>MOTOR</v>
      </c>
      <c r="Q116" s="1" t="n">
        <f aca="true">NETWORKDAYS(C116,TODAY())</f>
        <v>428</v>
      </c>
    </row>
    <row r="117" customFormat="false" ht="15" hidden="false" customHeight="true" outlineLevel="0" collapsed="false">
      <c r="A117" s="1" t="n">
        <v>114</v>
      </c>
      <c r="B117" s="1" t="s">
        <v>136</v>
      </c>
      <c r="C117" s="4" t="n">
        <v>45910</v>
      </c>
      <c r="D117" s="1" t="s">
        <v>12</v>
      </c>
      <c r="E117" s="8" t="n">
        <v>62</v>
      </c>
      <c r="F117" s="9" t="n">
        <v>241.36</v>
      </c>
      <c r="G117" s="9" t="n">
        <v>2332.43</v>
      </c>
      <c r="H117" s="1" t="s">
        <v>17</v>
      </c>
      <c r="I117" s="1" t="s">
        <v>318</v>
      </c>
      <c r="J117" s="8" t="n">
        <f aca="false">YEAR(C117)</f>
        <v>2025</v>
      </c>
      <c r="K117" s="1" t="str">
        <f aca="false">TEXT(C117,"mmm-yyyy")</f>
        <v>Sep-2025</v>
      </c>
      <c r="L117" s="1" t="str">
        <f aca="false">_xlfn.IFS(E117&lt;25,"Young (18-24)",E117&lt;=40,"Adult (25-40)",E117&lt;=60,"Mid-Age (41-60)",TRUE(),"Senior (60+)")</f>
        <v>Senior (60+)</v>
      </c>
      <c r="M117" s="10" t="n">
        <f aca="false">IF(F117=0,0,ROUND(G117/F117,2))</f>
        <v>9.66</v>
      </c>
      <c r="N117" s="1" t="str">
        <f aca="false">IF(AND(G117&gt;3000,H117="Approved"),"High-Value Approved",IF(OR(H117="Pending",H117="Unknown"),"Needs Review","Normal"))</f>
        <v>Normal</v>
      </c>
      <c r="O117" s="1" t="str">
        <f aca="false">LEFT(B117,3)</f>
        <v>POL</v>
      </c>
      <c r="P117" s="1" t="str">
        <f aca="false">UPPER(D117)</f>
        <v>MOTOR</v>
      </c>
      <c r="Q117" s="1" t="n">
        <f aca="true">NETWORKDAYS(C117,TODAY())</f>
        <v>250</v>
      </c>
    </row>
    <row r="118" customFormat="false" ht="15" hidden="false" customHeight="true" outlineLevel="0" collapsed="false">
      <c r="A118" s="1" t="n">
        <v>115</v>
      </c>
      <c r="B118" s="1" t="s">
        <v>137</v>
      </c>
      <c r="C118" s="4" t="n">
        <v>46036</v>
      </c>
      <c r="D118" s="1" t="s">
        <v>9</v>
      </c>
      <c r="E118" s="8" t="n">
        <v>68</v>
      </c>
      <c r="F118" s="9" t="n">
        <v>444.17</v>
      </c>
      <c r="G118" s="9" t="n">
        <v>0</v>
      </c>
      <c r="H118" s="1" t="s">
        <v>10</v>
      </c>
      <c r="I118" s="1" t="s">
        <v>318</v>
      </c>
      <c r="J118" s="8" t="n">
        <f aca="false">YEAR(C118)</f>
        <v>2026</v>
      </c>
      <c r="K118" s="1" t="str">
        <f aca="false">TEXT(C118,"mmm-yyyy")</f>
        <v>Jan-2026</v>
      </c>
      <c r="L118" s="1" t="str">
        <f aca="false">_xlfn.IFS(E118&lt;25,"Young (18-24)",E118&lt;=40,"Adult (25-40)",E118&lt;=60,"Mid-Age (41-60)",TRUE(),"Senior (60+)")</f>
        <v>Senior (60+)</v>
      </c>
      <c r="M118" s="10" t="n">
        <f aca="false">IF(F118=0,0,ROUND(G118/F118,2))</f>
        <v>0</v>
      </c>
      <c r="N118" s="1" t="str">
        <f aca="false">IF(AND(G118&gt;3000,H118="Approved"),"High-Value Approved",IF(OR(H118="Pending",H118="Unknown"),"Needs Review","Normal"))</f>
        <v>Normal</v>
      </c>
      <c r="O118" s="1" t="str">
        <f aca="false">LEFT(B118,3)</f>
        <v>POL</v>
      </c>
      <c r="P118" s="1" t="str">
        <f aca="false">UPPER(D118)</f>
        <v>LIFE</v>
      </c>
      <c r="Q118" s="1" t="n">
        <f aca="true">NETWORKDAYS(C118,TODAY())</f>
        <v>160</v>
      </c>
    </row>
    <row r="119" customFormat="false" ht="15" hidden="false" customHeight="true" outlineLevel="0" collapsed="false">
      <c r="A119" s="1" t="n">
        <v>116</v>
      </c>
      <c r="B119" s="1" t="s">
        <v>139</v>
      </c>
      <c r="C119" s="4" t="n">
        <v>46130</v>
      </c>
      <c r="D119" s="1" t="s">
        <v>16</v>
      </c>
      <c r="E119" s="8" t="n">
        <v>77</v>
      </c>
      <c r="F119" s="9" t="n">
        <v>512.71</v>
      </c>
      <c r="G119" s="9" t="n">
        <v>2989.64</v>
      </c>
      <c r="H119" s="1" t="s">
        <v>30</v>
      </c>
      <c r="I119" s="1" t="s">
        <v>318</v>
      </c>
      <c r="J119" s="8" t="n">
        <f aca="false">YEAR(C119)</f>
        <v>2026</v>
      </c>
      <c r="K119" s="1" t="str">
        <f aca="false">TEXT(C119,"mmm-yyyy")</f>
        <v>Apr-2026</v>
      </c>
      <c r="L119" s="1" t="str">
        <f aca="false">_xlfn.IFS(E119&lt;25,"Young (18-24)",E119&lt;=40,"Adult (25-40)",E119&lt;=60,"Mid-Age (41-60)",TRUE(),"Senior (60+)")</f>
        <v>Senior (60+)</v>
      </c>
      <c r="M119" s="10" t="n">
        <f aca="false">IF(F119=0,0,ROUND(G119/F119,2))</f>
        <v>5.83</v>
      </c>
      <c r="N119" s="1" t="str">
        <f aca="false">IF(AND(G119&gt;3000,H119="Approved"),"High-Value Approved",IF(OR(H119="Pending",H119="Unknown"),"Needs Review","Normal"))</f>
        <v>Normal</v>
      </c>
      <c r="O119" s="1" t="str">
        <f aca="false">LEFT(B119,3)</f>
        <v>POL</v>
      </c>
      <c r="P119" s="1" t="str">
        <f aca="false">UPPER(D119)</f>
        <v>PROPERTY</v>
      </c>
      <c r="Q119" s="1" t="n">
        <f aca="true">NETWORKDAYS(C119,TODAY())</f>
        <v>92</v>
      </c>
    </row>
    <row r="120" customFormat="false" ht="15" hidden="false" customHeight="true" outlineLevel="0" collapsed="false">
      <c r="A120" s="1" t="n">
        <v>117</v>
      </c>
      <c r="B120" s="1" t="s">
        <v>140</v>
      </c>
      <c r="C120" s="4" t="n">
        <v>45789</v>
      </c>
      <c r="D120" s="1" t="s">
        <v>40</v>
      </c>
      <c r="E120" s="8" t="n">
        <v>19</v>
      </c>
      <c r="F120" s="9" t="n">
        <v>90.91</v>
      </c>
      <c r="G120" s="9" t="n">
        <v>849.98</v>
      </c>
      <c r="H120" s="1" t="s">
        <v>38</v>
      </c>
      <c r="I120" s="1" t="s">
        <v>321</v>
      </c>
      <c r="J120" s="8" t="n">
        <f aca="false">YEAR(C120)</f>
        <v>2025</v>
      </c>
      <c r="K120" s="1" t="str">
        <f aca="false">TEXT(C120,"mmm-yyyy")</f>
        <v>May-2025</v>
      </c>
      <c r="L120" s="1" t="str">
        <f aca="false">_xlfn.IFS(E120&lt;25,"Young (18-24)",E120&lt;=40,"Adult (25-40)",E120&lt;=60,"Mid-Age (41-60)",TRUE(),"Senior (60+)")</f>
        <v>Young (18-24)</v>
      </c>
      <c r="M120" s="10" t="n">
        <f aca="false">IF(F120=0,0,ROUND(G120/F120,2))</f>
        <v>9.35</v>
      </c>
      <c r="N120" s="1" t="str">
        <f aca="false">IF(AND(G120&gt;3000,H120="Approved"),"High-Value Approved",IF(OR(H120="Pending",H120="Unknown"),"Needs Review","Normal"))</f>
        <v>Needs Review</v>
      </c>
      <c r="O120" s="1" t="str">
        <f aca="false">LEFT(B120,3)</f>
        <v>POL</v>
      </c>
      <c r="P120" s="1" t="str">
        <f aca="false">UPPER(D120)</f>
        <v>TRAVEL</v>
      </c>
      <c r="Q120" s="1" t="n">
        <f aca="true">NETWORKDAYS(C120,TODAY())</f>
        <v>337</v>
      </c>
    </row>
    <row r="121" customFormat="false" ht="15" hidden="false" customHeight="true" outlineLevel="0" collapsed="false">
      <c r="A121" s="1" t="n">
        <v>118</v>
      </c>
      <c r="B121" s="1" t="s">
        <v>141</v>
      </c>
      <c r="C121" s="4" t="n">
        <v>45997</v>
      </c>
      <c r="D121" s="1" t="s">
        <v>16</v>
      </c>
      <c r="E121" s="8" t="n">
        <v>34</v>
      </c>
      <c r="F121" s="9" t="n">
        <v>567.03</v>
      </c>
      <c r="G121" s="9" t="n">
        <v>0</v>
      </c>
      <c r="H121" s="1" t="s">
        <v>10</v>
      </c>
      <c r="I121" s="1" t="s">
        <v>318</v>
      </c>
      <c r="J121" s="8" t="n">
        <f aca="false">YEAR(C121)</f>
        <v>2025</v>
      </c>
      <c r="K121" s="1" t="str">
        <f aca="false">TEXT(C121,"mmm-yyyy")</f>
        <v>Dec-2025</v>
      </c>
      <c r="L121" s="1" t="str">
        <f aca="false">_xlfn.IFS(E121&lt;25,"Young (18-24)",E121&lt;=40,"Adult (25-40)",E121&lt;=60,"Mid-Age (41-60)",TRUE(),"Senior (60+)")</f>
        <v>Adult (25-40)</v>
      </c>
      <c r="M121" s="10" t="n">
        <f aca="false">IF(F121=0,0,ROUND(G121/F121,2))</f>
        <v>0</v>
      </c>
      <c r="N121" s="1" t="str">
        <f aca="false">IF(AND(G121&gt;3000,H121="Approved"),"High-Value Approved",IF(OR(H121="Pending",H121="Unknown"),"Needs Review","Normal"))</f>
        <v>Normal</v>
      </c>
      <c r="O121" s="1" t="str">
        <f aca="false">LEFT(B121,3)</f>
        <v>POL</v>
      </c>
      <c r="P121" s="1" t="str">
        <f aca="false">UPPER(D121)</f>
        <v>PROPERTY</v>
      </c>
      <c r="Q121" s="1" t="n">
        <f aca="true">NETWORKDAYS(C121,TODAY())</f>
        <v>187</v>
      </c>
    </row>
    <row r="122" customFormat="false" ht="15" hidden="false" customHeight="true" outlineLevel="0" collapsed="false">
      <c r="A122" s="1" t="n">
        <v>119</v>
      </c>
      <c r="B122" s="1" t="s">
        <v>142</v>
      </c>
      <c r="C122" s="4" t="n">
        <v>46162</v>
      </c>
      <c r="D122" s="1" t="s">
        <v>16</v>
      </c>
      <c r="E122" s="8" t="n">
        <v>24</v>
      </c>
      <c r="F122" s="9" t="n">
        <v>485.29</v>
      </c>
      <c r="G122" s="9" t="n">
        <v>2880.16</v>
      </c>
      <c r="H122" s="1" t="s">
        <v>17</v>
      </c>
      <c r="I122" s="1" t="s">
        <v>317</v>
      </c>
      <c r="J122" s="8" t="n">
        <f aca="false">YEAR(C122)</f>
        <v>2026</v>
      </c>
      <c r="K122" s="1" t="str">
        <f aca="false">TEXT(C122,"mmm-yyyy")</f>
        <v>May-2026</v>
      </c>
      <c r="L122" s="1" t="str">
        <f aca="false">_xlfn.IFS(E122&lt;25,"Young (18-24)",E122&lt;=40,"Adult (25-40)",E122&lt;=60,"Mid-Age (41-60)",TRUE(),"Senior (60+)")</f>
        <v>Young (18-24)</v>
      </c>
      <c r="M122" s="10" t="n">
        <f aca="false">IF(F122=0,0,ROUND(G122/F122,2))</f>
        <v>5.93</v>
      </c>
      <c r="N122" s="1" t="str">
        <f aca="false">IF(AND(G122&gt;3000,H122="Approved"),"High-Value Approved",IF(OR(H122="Pending",H122="Unknown"),"Needs Review","Normal"))</f>
        <v>Normal</v>
      </c>
      <c r="O122" s="1" t="str">
        <f aca="false">LEFT(B122,3)</f>
        <v>POL</v>
      </c>
      <c r="P122" s="1" t="str">
        <f aca="false">UPPER(D122)</f>
        <v>PROPERTY</v>
      </c>
      <c r="Q122" s="1" t="n">
        <f aca="true">NETWORKDAYS(C122,TODAY())</f>
        <v>70</v>
      </c>
    </row>
    <row r="123" customFormat="false" ht="15" hidden="false" customHeight="true" outlineLevel="0" collapsed="false">
      <c r="A123" s="1" t="n">
        <v>120</v>
      </c>
      <c r="B123" s="1" t="s">
        <v>143</v>
      </c>
      <c r="C123" s="4" t="n">
        <v>45696</v>
      </c>
      <c r="D123" s="1" t="s">
        <v>16</v>
      </c>
      <c r="E123" s="8" t="n">
        <v>37</v>
      </c>
      <c r="F123" s="9" t="n">
        <v>378.53</v>
      </c>
      <c r="G123" s="9" t="n">
        <v>0</v>
      </c>
      <c r="H123" s="1" t="s">
        <v>38</v>
      </c>
      <c r="I123" s="1" t="s">
        <v>321</v>
      </c>
      <c r="J123" s="8" t="n">
        <f aca="false">YEAR(C123)</f>
        <v>2025</v>
      </c>
      <c r="K123" s="1" t="str">
        <f aca="false">TEXT(C123,"mmm-yyyy")</f>
        <v>Feb-2025</v>
      </c>
      <c r="L123" s="1" t="str">
        <f aca="false">_xlfn.IFS(E123&lt;25,"Young (18-24)",E123&lt;=40,"Adult (25-40)",E123&lt;=60,"Mid-Age (41-60)",TRUE(),"Senior (60+)")</f>
        <v>Adult (25-40)</v>
      </c>
      <c r="M123" s="10" t="n">
        <f aca="false">IF(F123=0,0,ROUND(G123/F123,2))</f>
        <v>0</v>
      </c>
      <c r="N123" s="1" t="str">
        <f aca="false">IF(AND(G123&gt;3000,H123="Approved"),"High-Value Approved",IF(OR(H123="Pending",H123="Unknown"),"Needs Review","Normal"))</f>
        <v>Needs Review</v>
      </c>
      <c r="O123" s="1" t="str">
        <f aca="false">LEFT(B123,3)</f>
        <v>POL</v>
      </c>
      <c r="P123" s="1" t="str">
        <f aca="false">UPPER(D123)</f>
        <v>PROPERTY</v>
      </c>
      <c r="Q123" s="1" t="n">
        <f aca="true">NETWORKDAYS(C123,TODAY())</f>
        <v>402</v>
      </c>
    </row>
    <row r="124" customFormat="false" ht="15" hidden="false" customHeight="true" outlineLevel="0" collapsed="false">
      <c r="A124" s="1" t="n">
        <v>121</v>
      </c>
      <c r="B124" s="1" t="s">
        <v>144</v>
      </c>
      <c r="C124" s="4" t="n">
        <v>45939</v>
      </c>
      <c r="D124" s="1" t="s">
        <v>12</v>
      </c>
      <c r="E124" s="8" t="n">
        <v>53</v>
      </c>
      <c r="F124" s="9" t="n">
        <v>258.06</v>
      </c>
      <c r="G124" s="9" t="n">
        <v>0</v>
      </c>
      <c r="H124" s="1" t="s">
        <v>10</v>
      </c>
      <c r="I124" s="1" t="s">
        <v>316</v>
      </c>
      <c r="J124" s="8" t="n">
        <f aca="false">YEAR(C124)</f>
        <v>2025</v>
      </c>
      <c r="K124" s="1" t="str">
        <f aca="false">TEXT(C124,"mmm-yyyy")</f>
        <v>Oct-2025</v>
      </c>
      <c r="L124" s="1" t="str">
        <f aca="false">_xlfn.IFS(E124&lt;25,"Young (18-24)",E124&lt;=40,"Adult (25-40)",E124&lt;=60,"Mid-Age (41-60)",TRUE(),"Senior (60+)")</f>
        <v>Mid-Age (41-60)</v>
      </c>
      <c r="M124" s="10" t="n">
        <f aca="false">IF(F124=0,0,ROUND(G124/F124,2))</f>
        <v>0</v>
      </c>
      <c r="N124" s="1" t="str">
        <f aca="false">IF(AND(G124&gt;3000,H124="Approved"),"High-Value Approved",IF(OR(H124="Pending",H124="Unknown"),"Needs Review","Normal"))</f>
        <v>Normal</v>
      </c>
      <c r="O124" s="1" t="str">
        <f aca="false">LEFT(B124,3)</f>
        <v>POL</v>
      </c>
      <c r="P124" s="1" t="str">
        <f aca="false">UPPER(D124)</f>
        <v>MOTOR</v>
      </c>
      <c r="Q124" s="1" t="n">
        <f aca="true">NETWORKDAYS(C124,TODAY())</f>
        <v>229</v>
      </c>
    </row>
    <row r="125" customFormat="false" ht="15" hidden="false" customHeight="true" outlineLevel="0" collapsed="false">
      <c r="A125" s="1" t="n">
        <v>122</v>
      </c>
      <c r="B125" s="1" t="s">
        <v>145</v>
      </c>
      <c r="C125" s="4" t="n">
        <v>45966</v>
      </c>
      <c r="D125" s="1" t="s">
        <v>40</v>
      </c>
      <c r="E125" s="8" t="n">
        <v>25</v>
      </c>
      <c r="F125" s="9" t="n">
        <v>104.91</v>
      </c>
      <c r="G125" s="9" t="n">
        <v>0</v>
      </c>
      <c r="H125" s="1" t="s">
        <v>10</v>
      </c>
      <c r="I125" s="1" t="s">
        <v>318</v>
      </c>
      <c r="J125" s="8" t="n">
        <f aca="false">YEAR(C125)</f>
        <v>2025</v>
      </c>
      <c r="K125" s="1" t="str">
        <f aca="false">TEXT(C125,"mmm-yyyy")</f>
        <v>Nov-2025</v>
      </c>
      <c r="L125" s="1" t="str">
        <f aca="false">_xlfn.IFS(E125&lt;25,"Young (18-24)",E125&lt;=40,"Adult (25-40)",E125&lt;=60,"Mid-Age (41-60)",TRUE(),"Senior (60+)")</f>
        <v>Adult (25-40)</v>
      </c>
      <c r="M125" s="10" t="n">
        <f aca="false">IF(F125=0,0,ROUND(G125/F125,2))</f>
        <v>0</v>
      </c>
      <c r="N125" s="1" t="str">
        <f aca="false">IF(AND(G125&gt;3000,H125="Approved"),"High-Value Approved",IF(OR(H125="Pending",H125="Unknown"),"Needs Review","Normal"))</f>
        <v>Normal</v>
      </c>
      <c r="O125" s="1" t="str">
        <f aca="false">LEFT(B125,3)</f>
        <v>POL</v>
      </c>
      <c r="P125" s="1" t="str">
        <f aca="false">UPPER(D125)</f>
        <v>TRAVEL</v>
      </c>
      <c r="Q125" s="1" t="n">
        <f aca="true">NETWORKDAYS(C125,TODAY())</f>
        <v>210</v>
      </c>
    </row>
    <row r="126" customFormat="false" ht="15" hidden="false" customHeight="true" outlineLevel="0" collapsed="false">
      <c r="A126" s="1" t="n">
        <v>123</v>
      </c>
      <c r="B126" s="1" t="s">
        <v>146</v>
      </c>
      <c r="C126" s="4" t="n">
        <v>45896</v>
      </c>
      <c r="D126" s="1" t="s">
        <v>16</v>
      </c>
      <c r="E126" s="8" t="n">
        <v>50</v>
      </c>
      <c r="F126" s="9" t="n">
        <v>451.65</v>
      </c>
      <c r="G126" s="9" t="n">
        <v>0</v>
      </c>
      <c r="H126" s="1" t="s">
        <v>10</v>
      </c>
      <c r="I126" s="1" t="s">
        <v>318</v>
      </c>
      <c r="J126" s="8" t="n">
        <f aca="false">YEAR(C126)</f>
        <v>2025</v>
      </c>
      <c r="K126" s="1" t="str">
        <f aca="false">TEXT(C126,"mmm-yyyy")</f>
        <v>Aug-2025</v>
      </c>
      <c r="L126" s="1" t="str">
        <f aca="false">_xlfn.IFS(E126&lt;25,"Young (18-24)",E126&lt;=40,"Adult (25-40)",E126&lt;=60,"Mid-Age (41-60)",TRUE(),"Senior (60+)")</f>
        <v>Mid-Age (41-60)</v>
      </c>
      <c r="M126" s="10" t="n">
        <f aca="false">IF(F126=0,0,ROUND(G126/F126,2))</f>
        <v>0</v>
      </c>
      <c r="N126" s="1" t="str">
        <f aca="false">IF(AND(G126&gt;3000,H126="Approved"),"High-Value Approved",IF(OR(H126="Pending",H126="Unknown"),"Needs Review","Normal"))</f>
        <v>Normal</v>
      </c>
      <c r="O126" s="1" t="str">
        <f aca="false">LEFT(B126,3)</f>
        <v>POL</v>
      </c>
      <c r="P126" s="1" t="str">
        <f aca="false">UPPER(D126)</f>
        <v>PROPERTY</v>
      </c>
      <c r="Q126" s="1" t="n">
        <f aca="true">NETWORKDAYS(C126,TODAY())</f>
        <v>260</v>
      </c>
    </row>
    <row r="127" customFormat="false" ht="15" hidden="false" customHeight="true" outlineLevel="0" collapsed="false">
      <c r="A127" s="1" t="n">
        <v>124</v>
      </c>
      <c r="B127" s="1" t="s">
        <v>147</v>
      </c>
      <c r="C127" s="4" t="n">
        <v>46002</v>
      </c>
      <c r="D127" s="1" t="s">
        <v>16</v>
      </c>
      <c r="E127" s="8" t="n">
        <v>39</v>
      </c>
      <c r="F127" s="9" t="n">
        <v>368.65</v>
      </c>
      <c r="G127" s="9" t="n">
        <v>0</v>
      </c>
      <c r="H127" s="1" t="s">
        <v>10</v>
      </c>
      <c r="I127" s="1" t="s">
        <v>318</v>
      </c>
      <c r="J127" s="8" t="n">
        <f aca="false">YEAR(C127)</f>
        <v>2025</v>
      </c>
      <c r="K127" s="1" t="str">
        <f aca="false">TEXT(C127,"mmm-yyyy")</f>
        <v>Dec-2025</v>
      </c>
      <c r="L127" s="1" t="str">
        <f aca="false">_xlfn.IFS(E127&lt;25,"Young (18-24)",E127&lt;=40,"Adult (25-40)",E127&lt;=60,"Mid-Age (41-60)",TRUE(),"Senior (60+)")</f>
        <v>Adult (25-40)</v>
      </c>
      <c r="M127" s="10" t="n">
        <f aca="false">IF(F127=0,0,ROUND(G127/F127,2))</f>
        <v>0</v>
      </c>
      <c r="N127" s="1" t="str">
        <f aca="false">IF(AND(G127&gt;3000,H127="Approved"),"High-Value Approved",IF(OR(H127="Pending",H127="Unknown"),"Needs Review","Normal"))</f>
        <v>Normal</v>
      </c>
      <c r="O127" s="1" t="str">
        <f aca="false">LEFT(B127,3)</f>
        <v>POL</v>
      </c>
      <c r="P127" s="1" t="str">
        <f aca="false">UPPER(D127)</f>
        <v>PROPERTY</v>
      </c>
      <c r="Q127" s="1" t="n">
        <f aca="true">NETWORKDAYS(C127,TODAY())</f>
        <v>184</v>
      </c>
    </row>
    <row r="128" customFormat="false" ht="15" hidden="false" customHeight="true" outlineLevel="0" collapsed="false">
      <c r="A128" s="1" t="n">
        <v>125</v>
      </c>
      <c r="B128" s="1" t="s">
        <v>148</v>
      </c>
      <c r="C128" s="4" t="n">
        <v>46011</v>
      </c>
      <c r="D128" s="1" t="s">
        <v>19</v>
      </c>
      <c r="E128" s="8" t="n">
        <v>79</v>
      </c>
      <c r="F128" s="9" t="n">
        <v>513.86</v>
      </c>
      <c r="G128" s="9" t="n">
        <v>0</v>
      </c>
      <c r="H128" s="1" t="s">
        <v>10</v>
      </c>
      <c r="I128" s="1" t="s">
        <v>322</v>
      </c>
      <c r="J128" s="8" t="n">
        <f aca="false">YEAR(C128)</f>
        <v>2025</v>
      </c>
      <c r="K128" s="1" t="str">
        <f aca="false">TEXT(C128,"mmm-yyyy")</f>
        <v>Dec-2025</v>
      </c>
      <c r="L128" s="1" t="str">
        <f aca="false">_xlfn.IFS(E128&lt;25,"Young (18-24)",E128&lt;=40,"Adult (25-40)",E128&lt;=60,"Mid-Age (41-60)",TRUE(),"Senior (60+)")</f>
        <v>Senior (60+)</v>
      </c>
      <c r="M128" s="10" t="n">
        <f aca="false">IF(F128=0,0,ROUND(G128/F128,2))</f>
        <v>0</v>
      </c>
      <c r="N128" s="1" t="str">
        <f aca="false">IF(AND(G128&gt;3000,H128="Approved"),"High-Value Approved",IF(OR(H128="Pending",H128="Unknown"),"Needs Review","Normal"))</f>
        <v>Normal</v>
      </c>
      <c r="O128" s="1" t="str">
        <f aca="false">LEFT(B128,3)</f>
        <v>POL</v>
      </c>
      <c r="P128" s="1" t="str">
        <f aca="false">UPPER(D128)</f>
        <v>HEALTH</v>
      </c>
      <c r="Q128" s="1" t="n">
        <f aca="true">NETWORKDAYS(C128,TODAY())</f>
        <v>177</v>
      </c>
    </row>
    <row r="129" customFormat="false" ht="15" hidden="false" customHeight="true" outlineLevel="0" collapsed="false">
      <c r="A129" s="1" t="n">
        <v>126</v>
      </c>
      <c r="B129" s="1" t="s">
        <v>149</v>
      </c>
      <c r="C129" s="4" t="n">
        <v>45910</v>
      </c>
      <c r="D129" s="1" t="s">
        <v>12</v>
      </c>
      <c r="E129" s="8" t="n">
        <v>18</v>
      </c>
      <c r="F129" s="9" t="n">
        <v>331.71</v>
      </c>
      <c r="G129" s="9" t="n">
        <v>448.98</v>
      </c>
      <c r="H129" s="1" t="s">
        <v>17</v>
      </c>
      <c r="I129" s="1" t="s">
        <v>318</v>
      </c>
      <c r="J129" s="8" t="n">
        <f aca="false">YEAR(C129)</f>
        <v>2025</v>
      </c>
      <c r="K129" s="1" t="str">
        <f aca="false">TEXT(C129,"mmm-yyyy")</f>
        <v>Sep-2025</v>
      </c>
      <c r="L129" s="1" t="str">
        <f aca="false">_xlfn.IFS(E129&lt;25,"Young (18-24)",E129&lt;=40,"Adult (25-40)",E129&lt;=60,"Mid-Age (41-60)",TRUE(),"Senior (60+)")</f>
        <v>Young (18-24)</v>
      </c>
      <c r="M129" s="10" t="n">
        <f aca="false">IF(F129=0,0,ROUND(G129/F129,2))</f>
        <v>1.35</v>
      </c>
      <c r="N129" s="1" t="str">
        <f aca="false">IF(AND(G129&gt;3000,H129="Approved"),"High-Value Approved",IF(OR(H129="Pending",H129="Unknown"),"Needs Review","Normal"))</f>
        <v>Normal</v>
      </c>
      <c r="O129" s="1" t="str">
        <f aca="false">LEFT(B129,3)</f>
        <v>POL</v>
      </c>
      <c r="P129" s="1" t="str">
        <f aca="false">UPPER(D129)</f>
        <v>MOTOR</v>
      </c>
      <c r="Q129" s="1" t="n">
        <f aca="true">NETWORKDAYS(C129,TODAY())</f>
        <v>250</v>
      </c>
    </row>
    <row r="130" customFormat="false" ht="15" hidden="false" customHeight="true" outlineLevel="0" collapsed="false">
      <c r="A130" s="1" t="n">
        <v>127</v>
      </c>
      <c r="B130" s="1" t="s">
        <v>150</v>
      </c>
      <c r="C130" s="4" t="n">
        <v>46193</v>
      </c>
      <c r="D130" s="1" t="s">
        <v>12</v>
      </c>
      <c r="E130" s="8" t="n">
        <v>23</v>
      </c>
      <c r="F130" s="9" t="n">
        <v>268.37</v>
      </c>
      <c r="G130" s="9" t="n">
        <v>1512.17</v>
      </c>
      <c r="H130" s="1" t="s">
        <v>30</v>
      </c>
      <c r="I130" s="1" t="s">
        <v>318</v>
      </c>
      <c r="J130" s="8" t="n">
        <f aca="false">YEAR(C130)</f>
        <v>2026</v>
      </c>
      <c r="K130" s="1" t="str">
        <f aca="false">TEXT(C130,"mmm-yyyy")</f>
        <v>Jun-2026</v>
      </c>
      <c r="L130" s="1" t="str">
        <f aca="false">_xlfn.IFS(E130&lt;25,"Young (18-24)",E130&lt;=40,"Adult (25-40)",E130&lt;=60,"Mid-Age (41-60)",TRUE(),"Senior (60+)")</f>
        <v>Young (18-24)</v>
      </c>
      <c r="M130" s="10" t="n">
        <f aca="false">IF(F130=0,0,ROUND(G130/F130,2))</f>
        <v>5.63</v>
      </c>
      <c r="N130" s="1" t="str">
        <f aca="false">IF(AND(G130&gt;3000,H130="Approved"),"High-Value Approved",IF(OR(H130="Pending",H130="Unknown"),"Needs Review","Normal"))</f>
        <v>Normal</v>
      </c>
      <c r="O130" s="1" t="str">
        <f aca="false">LEFT(B130,3)</f>
        <v>POL</v>
      </c>
      <c r="P130" s="1" t="str">
        <f aca="false">UPPER(D130)</f>
        <v>MOTOR</v>
      </c>
      <c r="Q130" s="1" t="n">
        <f aca="true">NETWORKDAYS(C130,TODAY())</f>
        <v>47</v>
      </c>
    </row>
    <row r="131" customFormat="false" ht="15" hidden="false" customHeight="true" outlineLevel="0" collapsed="false">
      <c r="A131" s="1" t="n">
        <v>128</v>
      </c>
      <c r="B131" s="1" t="s">
        <v>151</v>
      </c>
      <c r="C131" s="4" t="n">
        <v>46118</v>
      </c>
      <c r="D131" s="1" t="s">
        <v>19</v>
      </c>
      <c r="E131" s="8" t="n">
        <v>18</v>
      </c>
      <c r="F131" s="9" t="n">
        <v>341.88</v>
      </c>
      <c r="G131" s="9" t="n">
        <v>542.7</v>
      </c>
      <c r="H131" s="1" t="s">
        <v>13</v>
      </c>
      <c r="I131" s="1" t="s">
        <v>320</v>
      </c>
      <c r="J131" s="8" t="n">
        <f aca="false">YEAR(C131)</f>
        <v>2026</v>
      </c>
      <c r="K131" s="1" t="str">
        <f aca="false">TEXT(C131,"mmm-yyyy")</f>
        <v>Apr-2026</v>
      </c>
      <c r="L131" s="1" t="str">
        <f aca="false">_xlfn.IFS(E131&lt;25,"Young (18-24)",E131&lt;=40,"Adult (25-40)",E131&lt;=60,"Mid-Age (41-60)",TRUE(),"Senior (60+)")</f>
        <v>Young (18-24)</v>
      </c>
      <c r="M131" s="10" t="n">
        <f aca="false">IF(F131=0,0,ROUND(G131/F131,2))</f>
        <v>1.59</v>
      </c>
      <c r="N131" s="1" t="str">
        <f aca="false">IF(AND(G131&gt;3000,H131="Approved"),"High-Value Approved",IF(OR(H131="Pending",H131="Unknown"),"Needs Review","Normal"))</f>
        <v>Needs Review</v>
      </c>
      <c r="O131" s="1" t="str">
        <f aca="false">LEFT(B131,3)</f>
        <v>POL</v>
      </c>
      <c r="P131" s="1" t="str">
        <f aca="false">UPPER(D131)</f>
        <v>HEALTH</v>
      </c>
      <c r="Q131" s="1" t="n">
        <f aca="true">NETWORKDAYS(C131,TODAY())</f>
        <v>102</v>
      </c>
    </row>
    <row r="132" customFormat="false" ht="15" hidden="false" customHeight="true" outlineLevel="0" collapsed="false">
      <c r="A132" s="1" t="n">
        <v>129</v>
      </c>
      <c r="B132" s="1" t="s">
        <v>152</v>
      </c>
      <c r="C132" s="4" t="n">
        <v>46107</v>
      </c>
      <c r="D132" s="1" t="s">
        <v>16</v>
      </c>
      <c r="E132" s="8" t="n">
        <v>64</v>
      </c>
      <c r="F132" s="9" t="n">
        <v>378.39</v>
      </c>
      <c r="G132" s="9" t="n">
        <v>0</v>
      </c>
      <c r="H132" s="1" t="s">
        <v>10</v>
      </c>
      <c r="I132" s="1" t="s">
        <v>318</v>
      </c>
      <c r="J132" s="8" t="n">
        <f aca="false">YEAR(C132)</f>
        <v>2026</v>
      </c>
      <c r="K132" s="1" t="str">
        <f aca="false">TEXT(C132,"mmm-yyyy")</f>
        <v>Mar-2026</v>
      </c>
      <c r="L132" s="1" t="str">
        <f aca="false">_xlfn.IFS(E132&lt;25,"Young (18-24)",E132&lt;=40,"Adult (25-40)",E132&lt;=60,"Mid-Age (41-60)",TRUE(),"Senior (60+)")</f>
        <v>Senior (60+)</v>
      </c>
      <c r="M132" s="10" t="n">
        <f aca="false">IF(F132=0,0,ROUND(G132/F132,2))</f>
        <v>0</v>
      </c>
      <c r="N132" s="1" t="str">
        <f aca="false">IF(AND(G132&gt;3000,H132="Approved"),"High-Value Approved",IF(OR(H132="Pending",H132="Unknown"),"Needs Review","Normal"))</f>
        <v>Normal</v>
      </c>
      <c r="O132" s="1" t="str">
        <f aca="false">LEFT(B132,3)</f>
        <v>POL</v>
      </c>
      <c r="P132" s="1" t="str">
        <f aca="false">UPPER(D132)</f>
        <v>PROPERTY</v>
      </c>
      <c r="Q132" s="1" t="n">
        <f aca="true">NETWORKDAYS(C132,TODAY())</f>
        <v>109</v>
      </c>
    </row>
    <row r="133" customFormat="false" ht="15" hidden="false" customHeight="true" outlineLevel="0" collapsed="false">
      <c r="A133" s="1" t="n">
        <v>130</v>
      </c>
      <c r="B133" s="1" t="s">
        <v>153</v>
      </c>
      <c r="C133" s="4" t="n">
        <v>46129</v>
      </c>
      <c r="D133" s="1" t="s">
        <v>19</v>
      </c>
      <c r="E133" s="8" t="n">
        <v>40</v>
      </c>
      <c r="F133" s="9" t="n">
        <v>341.88</v>
      </c>
      <c r="G133" s="9" t="n">
        <v>0</v>
      </c>
      <c r="H133" s="1" t="s">
        <v>10</v>
      </c>
      <c r="I133" s="1" t="s">
        <v>320</v>
      </c>
      <c r="J133" s="8" t="n">
        <f aca="false">YEAR(C133)</f>
        <v>2026</v>
      </c>
      <c r="K133" s="1" t="str">
        <f aca="false">TEXT(C133,"mmm-yyyy")</f>
        <v>Apr-2026</v>
      </c>
      <c r="L133" s="1" t="str">
        <f aca="false">_xlfn.IFS(E133&lt;25,"Young (18-24)",E133&lt;=40,"Adult (25-40)",E133&lt;=60,"Mid-Age (41-60)",TRUE(),"Senior (60+)")</f>
        <v>Adult (25-40)</v>
      </c>
      <c r="M133" s="10" t="n">
        <f aca="false">IF(F133=0,0,ROUND(G133/F133,2))</f>
        <v>0</v>
      </c>
      <c r="N133" s="1" t="str">
        <f aca="false">IF(AND(G133&gt;3000,H133="Approved"),"High-Value Approved",IF(OR(H133="Pending",H133="Unknown"),"Needs Review","Normal"))</f>
        <v>Normal</v>
      </c>
      <c r="O133" s="1" t="str">
        <f aca="false">LEFT(B133,3)</f>
        <v>POL</v>
      </c>
      <c r="P133" s="1" t="str">
        <f aca="false">UPPER(D133)</f>
        <v>HEALTH</v>
      </c>
      <c r="Q133" s="1" t="n">
        <f aca="true">NETWORKDAYS(C133,TODAY())</f>
        <v>93</v>
      </c>
    </row>
    <row r="134" customFormat="false" ht="15" hidden="false" customHeight="true" outlineLevel="0" collapsed="false">
      <c r="A134" s="1" t="n">
        <v>131</v>
      </c>
      <c r="B134" s="1" t="s">
        <v>154</v>
      </c>
      <c r="C134" s="4" t="n">
        <v>45931</v>
      </c>
      <c r="D134" s="1" t="s">
        <v>12</v>
      </c>
      <c r="E134" s="8" t="n">
        <v>52</v>
      </c>
      <c r="F134" s="9" t="n">
        <v>294.49</v>
      </c>
      <c r="G134" s="9" t="n">
        <v>0</v>
      </c>
      <c r="H134" s="1" t="s">
        <v>10</v>
      </c>
      <c r="I134" s="1" t="s">
        <v>318</v>
      </c>
      <c r="J134" s="8" t="n">
        <f aca="false">YEAR(C134)</f>
        <v>2025</v>
      </c>
      <c r="K134" s="1" t="str">
        <f aca="false">TEXT(C134,"mmm-yyyy")</f>
        <v>Oct-2025</v>
      </c>
      <c r="L134" s="1" t="str">
        <f aca="false">_xlfn.IFS(E134&lt;25,"Young (18-24)",E134&lt;=40,"Adult (25-40)",E134&lt;=60,"Mid-Age (41-60)",TRUE(),"Senior (60+)")</f>
        <v>Mid-Age (41-60)</v>
      </c>
      <c r="M134" s="10" t="n">
        <f aca="false">IF(F134=0,0,ROUND(G134/F134,2))</f>
        <v>0</v>
      </c>
      <c r="N134" s="1" t="str">
        <f aca="false">IF(AND(G134&gt;3000,H134="Approved"),"High-Value Approved",IF(OR(H134="Pending",H134="Unknown"),"Needs Review","Normal"))</f>
        <v>Normal</v>
      </c>
      <c r="O134" s="1" t="str">
        <f aca="false">LEFT(B134,3)</f>
        <v>POL</v>
      </c>
      <c r="P134" s="1" t="str">
        <f aca="false">UPPER(D134)</f>
        <v>MOTOR</v>
      </c>
      <c r="Q134" s="1" t="n">
        <f aca="true">NETWORKDAYS(C134,TODAY())</f>
        <v>235</v>
      </c>
    </row>
    <row r="135" customFormat="false" ht="15" hidden="false" customHeight="true" outlineLevel="0" collapsed="false">
      <c r="A135" s="1" t="n">
        <v>132</v>
      </c>
      <c r="B135" s="1" t="s">
        <v>155</v>
      </c>
      <c r="C135" s="4" t="n">
        <v>45945</v>
      </c>
      <c r="D135" s="1" t="s">
        <v>9</v>
      </c>
      <c r="E135" s="8" t="n">
        <v>20</v>
      </c>
      <c r="F135" s="9" t="n">
        <v>395.82</v>
      </c>
      <c r="G135" s="9" t="n">
        <v>0</v>
      </c>
      <c r="H135" s="1" t="s">
        <v>10</v>
      </c>
      <c r="I135" s="1" t="s">
        <v>318</v>
      </c>
      <c r="J135" s="8" t="n">
        <f aca="false">YEAR(C135)</f>
        <v>2025</v>
      </c>
      <c r="K135" s="1" t="str">
        <f aca="false">TEXT(C135,"mmm-yyyy")</f>
        <v>Oct-2025</v>
      </c>
      <c r="L135" s="1" t="str">
        <f aca="false">_xlfn.IFS(E135&lt;25,"Young (18-24)",E135&lt;=40,"Adult (25-40)",E135&lt;=60,"Mid-Age (41-60)",TRUE(),"Senior (60+)")</f>
        <v>Young (18-24)</v>
      </c>
      <c r="M135" s="10" t="n">
        <f aca="false">IF(F135=0,0,ROUND(G135/F135,2))</f>
        <v>0</v>
      </c>
      <c r="N135" s="1" t="str">
        <f aca="false">IF(AND(G135&gt;3000,H135="Approved"),"High-Value Approved",IF(OR(H135="Pending",H135="Unknown"),"Needs Review","Normal"))</f>
        <v>Normal</v>
      </c>
      <c r="O135" s="1" t="str">
        <f aca="false">LEFT(B135,3)</f>
        <v>POL</v>
      </c>
      <c r="P135" s="1" t="str">
        <f aca="false">UPPER(D135)</f>
        <v>LIFE</v>
      </c>
      <c r="Q135" s="1" t="n">
        <f aca="true">NETWORKDAYS(C135,TODAY())</f>
        <v>225</v>
      </c>
    </row>
    <row r="136" customFormat="false" ht="15" hidden="false" customHeight="true" outlineLevel="0" collapsed="false">
      <c r="A136" s="1" t="n">
        <v>133</v>
      </c>
      <c r="B136" s="1" t="s">
        <v>156</v>
      </c>
      <c r="C136" s="4" t="n">
        <v>45943</v>
      </c>
      <c r="D136" s="1" t="s">
        <v>16</v>
      </c>
      <c r="E136" s="8" t="n">
        <v>53</v>
      </c>
      <c r="F136" s="9" t="n">
        <v>381.1</v>
      </c>
      <c r="G136" s="9" t="n">
        <v>1006.99</v>
      </c>
      <c r="H136" s="1" t="s">
        <v>17</v>
      </c>
      <c r="I136" s="1" t="s">
        <v>318</v>
      </c>
      <c r="J136" s="8" t="n">
        <f aca="false">YEAR(C136)</f>
        <v>2025</v>
      </c>
      <c r="K136" s="1" t="str">
        <f aca="false">TEXT(C136,"mmm-yyyy")</f>
        <v>Oct-2025</v>
      </c>
      <c r="L136" s="1" t="str">
        <f aca="false">_xlfn.IFS(E136&lt;25,"Young (18-24)",E136&lt;=40,"Adult (25-40)",E136&lt;=60,"Mid-Age (41-60)",TRUE(),"Senior (60+)")</f>
        <v>Mid-Age (41-60)</v>
      </c>
      <c r="M136" s="10" t="n">
        <f aca="false">IF(F136=0,0,ROUND(G136/F136,2))</f>
        <v>2.64</v>
      </c>
      <c r="N136" s="1" t="str">
        <f aca="false">IF(AND(G136&gt;3000,H136="Approved"),"High-Value Approved",IF(OR(H136="Pending",H136="Unknown"),"Needs Review","Normal"))</f>
        <v>Normal</v>
      </c>
      <c r="O136" s="1" t="str">
        <f aca="false">LEFT(B136,3)</f>
        <v>POL</v>
      </c>
      <c r="P136" s="1" t="str">
        <f aca="false">UPPER(D136)</f>
        <v>PROPERTY</v>
      </c>
      <c r="Q136" s="1" t="n">
        <f aca="true">NETWORKDAYS(C136,TODAY())</f>
        <v>227</v>
      </c>
    </row>
    <row r="137" customFormat="false" ht="15" hidden="false" customHeight="true" outlineLevel="0" collapsed="false">
      <c r="A137" s="1" t="n">
        <v>134</v>
      </c>
      <c r="B137" s="1" t="s">
        <v>157</v>
      </c>
      <c r="C137" s="4" t="n">
        <v>46037</v>
      </c>
      <c r="D137" s="1" t="s">
        <v>9</v>
      </c>
      <c r="E137" s="8" t="n">
        <v>41</v>
      </c>
      <c r="F137" s="9" t="n">
        <v>374.09</v>
      </c>
      <c r="G137" s="9" t="n">
        <v>0</v>
      </c>
      <c r="H137" s="1" t="s">
        <v>10</v>
      </c>
      <c r="I137" s="1" t="s">
        <v>318</v>
      </c>
      <c r="J137" s="8" t="n">
        <f aca="false">YEAR(C137)</f>
        <v>2026</v>
      </c>
      <c r="K137" s="1" t="str">
        <f aca="false">TEXT(C137,"mmm-yyyy")</f>
        <v>Jan-2026</v>
      </c>
      <c r="L137" s="1" t="str">
        <f aca="false">_xlfn.IFS(E137&lt;25,"Young (18-24)",E137&lt;=40,"Adult (25-40)",E137&lt;=60,"Mid-Age (41-60)",TRUE(),"Senior (60+)")</f>
        <v>Mid-Age (41-60)</v>
      </c>
      <c r="M137" s="10" t="n">
        <f aca="false">IF(F137=0,0,ROUND(G137/F137,2))</f>
        <v>0</v>
      </c>
      <c r="N137" s="1" t="str">
        <f aca="false">IF(AND(G137&gt;3000,H137="Approved"),"High-Value Approved",IF(OR(H137="Pending",H137="Unknown"),"Needs Review","Normal"))</f>
        <v>Normal</v>
      </c>
      <c r="O137" s="1" t="str">
        <f aca="false">LEFT(B137,3)</f>
        <v>POL</v>
      </c>
      <c r="P137" s="1" t="str">
        <f aca="false">UPPER(D137)</f>
        <v>LIFE</v>
      </c>
      <c r="Q137" s="1" t="n">
        <f aca="true">NETWORKDAYS(C137,TODAY())</f>
        <v>159</v>
      </c>
    </row>
    <row r="138" customFormat="false" ht="15" hidden="false" customHeight="true" outlineLevel="0" collapsed="false">
      <c r="A138" s="1" t="n">
        <v>135</v>
      </c>
      <c r="B138" s="1" t="s">
        <v>158</v>
      </c>
      <c r="C138" s="4" t="n">
        <v>45687</v>
      </c>
      <c r="D138" s="1" t="s">
        <v>19</v>
      </c>
      <c r="E138" s="8" t="n">
        <v>77</v>
      </c>
      <c r="F138" s="9" t="n">
        <v>287.27</v>
      </c>
      <c r="G138" s="9" t="n">
        <v>1715.65</v>
      </c>
      <c r="H138" s="1" t="s">
        <v>38</v>
      </c>
      <c r="I138" s="1" t="s">
        <v>321</v>
      </c>
      <c r="J138" s="8" t="n">
        <f aca="false">YEAR(C138)</f>
        <v>2025</v>
      </c>
      <c r="K138" s="1" t="str">
        <f aca="false">TEXT(C138,"mmm-yyyy")</f>
        <v>Jan-2025</v>
      </c>
      <c r="L138" s="1" t="str">
        <f aca="false">_xlfn.IFS(E138&lt;25,"Young (18-24)",E138&lt;=40,"Adult (25-40)",E138&lt;=60,"Mid-Age (41-60)",TRUE(),"Senior (60+)")</f>
        <v>Senior (60+)</v>
      </c>
      <c r="M138" s="10" t="n">
        <f aca="false">IF(F138=0,0,ROUND(G138/F138,2))</f>
        <v>5.97</v>
      </c>
      <c r="N138" s="1" t="str">
        <f aca="false">IF(AND(G138&gt;3000,H138="Approved"),"High-Value Approved",IF(OR(H138="Pending",H138="Unknown"),"Needs Review","Normal"))</f>
        <v>Needs Review</v>
      </c>
      <c r="O138" s="1" t="str">
        <f aca="false">LEFT(B138,3)</f>
        <v>POL</v>
      </c>
      <c r="P138" s="1" t="str">
        <f aca="false">UPPER(D138)</f>
        <v>HEALTH</v>
      </c>
      <c r="Q138" s="1" t="n">
        <f aca="true">NETWORKDAYS(C138,TODAY())</f>
        <v>409</v>
      </c>
    </row>
    <row r="139" customFormat="false" ht="15" hidden="false" customHeight="true" outlineLevel="0" collapsed="false">
      <c r="A139" s="1" t="n">
        <v>136</v>
      </c>
      <c r="B139" s="1" t="s">
        <v>159</v>
      </c>
      <c r="C139" s="4" t="n">
        <v>45993</v>
      </c>
      <c r="D139" s="1" t="s">
        <v>9</v>
      </c>
      <c r="E139" s="8" t="n">
        <v>47</v>
      </c>
      <c r="F139" s="9" t="n">
        <v>453.38</v>
      </c>
      <c r="G139" s="9" t="n">
        <v>0</v>
      </c>
      <c r="H139" s="1" t="s">
        <v>10</v>
      </c>
      <c r="I139" s="1" t="s">
        <v>318</v>
      </c>
      <c r="J139" s="8" t="n">
        <f aca="false">YEAR(C139)</f>
        <v>2025</v>
      </c>
      <c r="K139" s="1" t="str">
        <f aca="false">TEXT(C139,"mmm-yyyy")</f>
        <v>Dec-2025</v>
      </c>
      <c r="L139" s="1" t="str">
        <f aca="false">_xlfn.IFS(E139&lt;25,"Young (18-24)",E139&lt;=40,"Adult (25-40)",E139&lt;=60,"Mid-Age (41-60)",TRUE(),"Senior (60+)")</f>
        <v>Mid-Age (41-60)</v>
      </c>
      <c r="M139" s="10" t="n">
        <f aca="false">IF(F139=0,0,ROUND(G139/F139,2))</f>
        <v>0</v>
      </c>
      <c r="N139" s="1" t="str">
        <f aca="false">IF(AND(G139&gt;3000,H139="Approved"),"High-Value Approved",IF(OR(H139="Pending",H139="Unknown"),"Needs Review","Normal"))</f>
        <v>Normal</v>
      </c>
      <c r="O139" s="1" t="str">
        <f aca="false">LEFT(B139,3)</f>
        <v>POL</v>
      </c>
      <c r="P139" s="1" t="str">
        <f aca="false">UPPER(D139)</f>
        <v>LIFE</v>
      </c>
      <c r="Q139" s="1" t="n">
        <f aca="true">NETWORKDAYS(C139,TODAY())</f>
        <v>191</v>
      </c>
    </row>
    <row r="140" customFormat="false" ht="15" hidden="false" customHeight="true" outlineLevel="0" collapsed="false">
      <c r="A140" s="1" t="n">
        <v>137</v>
      </c>
      <c r="B140" s="1" t="s">
        <v>160</v>
      </c>
      <c r="C140" s="4" t="n">
        <v>45751</v>
      </c>
      <c r="D140" s="1" t="s">
        <v>40</v>
      </c>
      <c r="E140" s="8" t="n">
        <v>59</v>
      </c>
      <c r="F140" s="9" t="n">
        <v>97.75</v>
      </c>
      <c r="G140" s="9" t="n">
        <v>669.29</v>
      </c>
      <c r="H140" s="1" t="s">
        <v>30</v>
      </c>
      <c r="I140" s="1" t="s">
        <v>318</v>
      </c>
      <c r="J140" s="8" t="n">
        <f aca="false">YEAR(C140)</f>
        <v>2025</v>
      </c>
      <c r="K140" s="1" t="str">
        <f aca="false">TEXT(C140,"mmm-yyyy")</f>
        <v>Apr-2025</v>
      </c>
      <c r="L140" s="1" t="str">
        <f aca="false">_xlfn.IFS(E140&lt;25,"Young (18-24)",E140&lt;=40,"Adult (25-40)",E140&lt;=60,"Mid-Age (41-60)",TRUE(),"Senior (60+)")</f>
        <v>Mid-Age (41-60)</v>
      </c>
      <c r="M140" s="10" t="n">
        <f aca="false">IF(F140=0,0,ROUND(G140/F140,2))</f>
        <v>6.85</v>
      </c>
      <c r="N140" s="1" t="str">
        <f aca="false">IF(AND(G140&gt;3000,H140="Approved"),"High-Value Approved",IF(OR(H140="Pending",H140="Unknown"),"Needs Review","Normal"))</f>
        <v>Normal</v>
      </c>
      <c r="O140" s="1" t="str">
        <f aca="false">LEFT(B140,3)</f>
        <v>POL</v>
      </c>
      <c r="P140" s="1" t="str">
        <f aca="false">UPPER(D140)</f>
        <v>TRAVEL</v>
      </c>
      <c r="Q140" s="1" t="n">
        <f aca="true">NETWORKDAYS(C140,TODAY())</f>
        <v>363</v>
      </c>
    </row>
    <row r="141" customFormat="false" ht="15" hidden="false" customHeight="true" outlineLevel="0" collapsed="false">
      <c r="A141" s="1" t="n">
        <v>138</v>
      </c>
      <c r="B141" s="1" t="s">
        <v>161</v>
      </c>
      <c r="C141" s="4" t="n">
        <v>46226</v>
      </c>
      <c r="D141" s="1" t="s">
        <v>9</v>
      </c>
      <c r="E141" s="8" t="n">
        <v>39</v>
      </c>
      <c r="F141" s="9" t="n">
        <v>463.51</v>
      </c>
      <c r="G141" s="9" t="n">
        <v>0</v>
      </c>
      <c r="H141" s="1" t="s">
        <v>10</v>
      </c>
      <c r="I141" s="1" t="s">
        <v>318</v>
      </c>
      <c r="J141" s="8" t="n">
        <f aca="false">YEAR(C141)</f>
        <v>2026</v>
      </c>
      <c r="K141" s="1" t="str">
        <f aca="false">TEXT(C141,"mmm-yyyy")</f>
        <v>Jul-2026</v>
      </c>
      <c r="L141" s="1" t="str">
        <f aca="false">_xlfn.IFS(E141&lt;25,"Young (18-24)",E141&lt;=40,"Adult (25-40)",E141&lt;=60,"Mid-Age (41-60)",TRUE(),"Senior (60+)")</f>
        <v>Adult (25-40)</v>
      </c>
      <c r="M141" s="10" t="n">
        <f aca="false">IF(F141=0,0,ROUND(G141/F141,2))</f>
        <v>0</v>
      </c>
      <c r="N141" s="1" t="str">
        <f aca="false">IF(AND(G141&gt;3000,H141="Approved"),"High-Value Approved",IF(OR(H141="Pending",H141="Unknown"),"Needs Review","Normal"))</f>
        <v>Normal</v>
      </c>
      <c r="O141" s="1" t="str">
        <f aca="false">LEFT(B141,3)</f>
        <v>POL</v>
      </c>
      <c r="P141" s="1" t="str">
        <f aca="false">UPPER(D141)</f>
        <v>LIFE</v>
      </c>
      <c r="Q141" s="1" t="n">
        <f aca="true">NETWORKDAYS(C141,TODAY())</f>
        <v>24</v>
      </c>
    </row>
    <row r="142" customFormat="false" ht="15" hidden="false" customHeight="true" outlineLevel="0" collapsed="false">
      <c r="A142" s="1" t="n">
        <v>139</v>
      </c>
      <c r="B142" s="1" t="s">
        <v>162</v>
      </c>
      <c r="C142" s="4" t="n">
        <v>46119</v>
      </c>
      <c r="D142" s="1" t="s">
        <v>19</v>
      </c>
      <c r="E142" s="8" t="n">
        <v>48</v>
      </c>
      <c r="F142" s="9" t="n">
        <v>501.49</v>
      </c>
      <c r="G142" s="9" t="n">
        <v>1552.21</v>
      </c>
      <c r="H142" s="1" t="s">
        <v>17</v>
      </c>
      <c r="I142" s="1" t="s">
        <v>322</v>
      </c>
      <c r="J142" s="8" t="n">
        <f aca="false">YEAR(C142)</f>
        <v>2026</v>
      </c>
      <c r="K142" s="1" t="str">
        <f aca="false">TEXT(C142,"mmm-yyyy")</f>
        <v>Apr-2026</v>
      </c>
      <c r="L142" s="1" t="str">
        <f aca="false">_xlfn.IFS(E142&lt;25,"Young (18-24)",E142&lt;=40,"Adult (25-40)",E142&lt;=60,"Mid-Age (41-60)",TRUE(),"Senior (60+)")</f>
        <v>Mid-Age (41-60)</v>
      </c>
      <c r="M142" s="10" t="n">
        <f aca="false">IF(F142=0,0,ROUND(G142/F142,2))</f>
        <v>3.1</v>
      </c>
      <c r="N142" s="1" t="str">
        <f aca="false">IF(AND(G142&gt;3000,H142="Approved"),"High-Value Approved",IF(OR(H142="Pending",H142="Unknown"),"Needs Review","Normal"))</f>
        <v>Normal</v>
      </c>
      <c r="O142" s="1" t="str">
        <f aca="false">LEFT(B142,3)</f>
        <v>POL</v>
      </c>
      <c r="P142" s="1" t="str">
        <f aca="false">UPPER(D142)</f>
        <v>HEALTH</v>
      </c>
      <c r="Q142" s="1" t="n">
        <f aca="true">NETWORKDAYS(C142,TODAY())</f>
        <v>101</v>
      </c>
    </row>
    <row r="143" customFormat="false" ht="15" hidden="false" customHeight="true" outlineLevel="0" collapsed="false">
      <c r="A143" s="1" t="n">
        <v>140</v>
      </c>
      <c r="B143" s="1" t="s">
        <v>163</v>
      </c>
      <c r="C143" s="4" t="n">
        <v>45910</v>
      </c>
      <c r="D143" s="1" t="s">
        <v>19</v>
      </c>
      <c r="E143" s="8" t="n">
        <v>28</v>
      </c>
      <c r="F143" s="9" t="n">
        <v>309.01</v>
      </c>
      <c r="G143" s="9" t="n">
        <v>0</v>
      </c>
      <c r="H143" s="1" t="s">
        <v>10</v>
      </c>
      <c r="I143" s="1" t="s">
        <v>318</v>
      </c>
      <c r="J143" s="8" t="n">
        <f aca="false">YEAR(C143)</f>
        <v>2025</v>
      </c>
      <c r="K143" s="1" t="str">
        <f aca="false">TEXT(C143,"mmm-yyyy")</f>
        <v>Sep-2025</v>
      </c>
      <c r="L143" s="1" t="str">
        <f aca="false">_xlfn.IFS(E143&lt;25,"Young (18-24)",E143&lt;=40,"Adult (25-40)",E143&lt;=60,"Mid-Age (41-60)",TRUE(),"Senior (60+)")</f>
        <v>Adult (25-40)</v>
      </c>
      <c r="M143" s="10" t="n">
        <f aca="false">IF(F143=0,0,ROUND(G143/F143,2))</f>
        <v>0</v>
      </c>
      <c r="N143" s="1" t="str">
        <f aca="false">IF(AND(G143&gt;3000,H143="Approved"),"High-Value Approved",IF(OR(H143="Pending",H143="Unknown"),"Needs Review","Normal"))</f>
        <v>Normal</v>
      </c>
      <c r="O143" s="1" t="str">
        <f aca="false">LEFT(B143,3)</f>
        <v>POL</v>
      </c>
      <c r="P143" s="1" t="str">
        <f aca="false">UPPER(D143)</f>
        <v>HEALTH</v>
      </c>
      <c r="Q143" s="1" t="n">
        <f aca="true">NETWORKDAYS(C143,TODAY())</f>
        <v>250</v>
      </c>
    </row>
    <row r="144" customFormat="false" ht="15" hidden="false" customHeight="true" outlineLevel="0" collapsed="false">
      <c r="A144" s="1" t="n">
        <v>141</v>
      </c>
      <c r="B144" s="1" t="s">
        <v>164</v>
      </c>
      <c r="C144" s="4" t="n">
        <v>45841</v>
      </c>
      <c r="D144" s="1" t="s">
        <v>40</v>
      </c>
      <c r="E144" s="8" t="n">
        <v>58</v>
      </c>
      <c r="F144" s="9" t="n">
        <v>98.24</v>
      </c>
      <c r="G144" s="9" t="n">
        <v>675.1</v>
      </c>
      <c r="H144" s="1" t="s">
        <v>30</v>
      </c>
      <c r="I144" s="1" t="s">
        <v>318</v>
      </c>
      <c r="J144" s="8" t="n">
        <f aca="false">YEAR(C144)</f>
        <v>2025</v>
      </c>
      <c r="K144" s="1" t="str">
        <f aca="false">TEXT(C144,"mmm-yyyy")</f>
        <v>Jul-2025</v>
      </c>
      <c r="L144" s="1" t="str">
        <f aca="false">_xlfn.IFS(E144&lt;25,"Young (18-24)",E144&lt;=40,"Adult (25-40)",E144&lt;=60,"Mid-Age (41-60)",TRUE(),"Senior (60+)")</f>
        <v>Mid-Age (41-60)</v>
      </c>
      <c r="M144" s="10" t="n">
        <f aca="false">IF(F144=0,0,ROUND(G144/F144,2))</f>
        <v>6.87</v>
      </c>
      <c r="N144" s="1" t="str">
        <f aca="false">IF(AND(G144&gt;3000,H144="Approved"),"High-Value Approved",IF(OR(H144="Pending",H144="Unknown"),"Needs Review","Normal"))</f>
        <v>Normal</v>
      </c>
      <c r="O144" s="1" t="str">
        <f aca="false">LEFT(B144,3)</f>
        <v>POL</v>
      </c>
      <c r="P144" s="1" t="str">
        <f aca="false">UPPER(D144)</f>
        <v>TRAVEL</v>
      </c>
      <c r="Q144" s="1" t="n">
        <f aca="true">NETWORKDAYS(C144,TODAY())</f>
        <v>299</v>
      </c>
    </row>
    <row r="145" customFormat="false" ht="15" hidden="false" customHeight="true" outlineLevel="0" collapsed="false">
      <c r="A145" s="1" t="n">
        <v>142</v>
      </c>
      <c r="B145" s="1" t="s">
        <v>165</v>
      </c>
      <c r="C145" s="4" t="n">
        <v>45962</v>
      </c>
      <c r="D145" s="1" t="s">
        <v>16</v>
      </c>
      <c r="E145" s="8" t="n">
        <v>41</v>
      </c>
      <c r="F145" s="9" t="n">
        <v>418.22</v>
      </c>
      <c r="G145" s="9" t="n">
        <v>1790.48</v>
      </c>
      <c r="H145" s="1" t="s">
        <v>17</v>
      </c>
      <c r="I145" s="1" t="s">
        <v>318</v>
      </c>
      <c r="J145" s="8" t="n">
        <f aca="false">YEAR(C145)</f>
        <v>2025</v>
      </c>
      <c r="K145" s="1" t="str">
        <f aca="false">TEXT(C145,"mmm-yyyy")</f>
        <v>Nov-2025</v>
      </c>
      <c r="L145" s="1" t="str">
        <f aca="false">_xlfn.IFS(E145&lt;25,"Young (18-24)",E145&lt;=40,"Adult (25-40)",E145&lt;=60,"Mid-Age (41-60)",TRUE(),"Senior (60+)")</f>
        <v>Mid-Age (41-60)</v>
      </c>
      <c r="M145" s="10" t="n">
        <f aca="false">IF(F145=0,0,ROUND(G145/F145,2))</f>
        <v>4.28</v>
      </c>
      <c r="N145" s="1" t="str">
        <f aca="false">IF(AND(G145&gt;3000,H145="Approved"),"High-Value Approved",IF(OR(H145="Pending",H145="Unknown"),"Needs Review","Normal"))</f>
        <v>Normal</v>
      </c>
      <c r="O145" s="1" t="str">
        <f aca="false">LEFT(B145,3)</f>
        <v>POL</v>
      </c>
      <c r="P145" s="1" t="str">
        <f aca="false">UPPER(D145)</f>
        <v>PROPERTY</v>
      </c>
      <c r="Q145" s="1" t="n">
        <f aca="true">NETWORKDAYS(C145,TODAY())</f>
        <v>212</v>
      </c>
    </row>
    <row r="146" customFormat="false" ht="15" hidden="false" customHeight="true" outlineLevel="0" collapsed="false">
      <c r="A146" s="1" t="n">
        <v>143</v>
      </c>
      <c r="B146" s="1" t="s">
        <v>166</v>
      </c>
      <c r="C146" s="4" t="n">
        <v>45957</v>
      </c>
      <c r="D146" s="1" t="s">
        <v>12</v>
      </c>
      <c r="E146" s="8" t="n">
        <v>34</v>
      </c>
      <c r="F146" s="9" t="n">
        <v>349.84</v>
      </c>
      <c r="G146" s="9" t="n">
        <v>1646.56</v>
      </c>
      <c r="H146" s="1" t="s">
        <v>13</v>
      </c>
      <c r="I146" s="1" t="s">
        <v>317</v>
      </c>
      <c r="J146" s="8" t="n">
        <f aca="false">YEAR(C146)</f>
        <v>2025</v>
      </c>
      <c r="K146" s="1" t="str">
        <f aca="false">TEXT(C146,"mmm-yyyy")</f>
        <v>Oct-2025</v>
      </c>
      <c r="L146" s="1" t="str">
        <f aca="false">_xlfn.IFS(E146&lt;25,"Young (18-24)",E146&lt;=40,"Adult (25-40)",E146&lt;=60,"Mid-Age (41-60)",TRUE(),"Senior (60+)")</f>
        <v>Adult (25-40)</v>
      </c>
      <c r="M146" s="10" t="n">
        <f aca="false">IF(F146=0,0,ROUND(G146/F146,2))</f>
        <v>4.71</v>
      </c>
      <c r="N146" s="1" t="str">
        <f aca="false">IF(AND(G146&gt;3000,H146="Approved"),"High-Value Approved",IF(OR(H146="Pending",H146="Unknown"),"Needs Review","Normal"))</f>
        <v>Needs Review</v>
      </c>
      <c r="O146" s="1" t="str">
        <f aca="false">LEFT(B146,3)</f>
        <v>POL</v>
      </c>
      <c r="P146" s="1" t="str">
        <f aca="false">UPPER(D146)</f>
        <v>MOTOR</v>
      </c>
      <c r="Q146" s="1" t="n">
        <f aca="true">NETWORKDAYS(C146,TODAY())</f>
        <v>217</v>
      </c>
    </row>
    <row r="147" customFormat="false" ht="15" hidden="false" customHeight="true" outlineLevel="0" collapsed="false">
      <c r="A147" s="1" t="n">
        <v>144</v>
      </c>
      <c r="B147" s="1" t="s">
        <v>167</v>
      </c>
      <c r="C147" s="4" t="n">
        <v>45770</v>
      </c>
      <c r="D147" s="1" t="s">
        <v>9</v>
      </c>
      <c r="E147" s="8" t="n">
        <v>18</v>
      </c>
      <c r="F147" s="9" t="n">
        <v>387.77</v>
      </c>
      <c r="G147" s="9" t="n">
        <v>3835.86</v>
      </c>
      <c r="H147" s="1" t="s">
        <v>17</v>
      </c>
      <c r="I147" s="1" t="s">
        <v>318</v>
      </c>
      <c r="J147" s="8" t="n">
        <f aca="false">YEAR(C147)</f>
        <v>2025</v>
      </c>
      <c r="K147" s="1" t="str">
        <f aca="false">TEXT(C147,"mmm-yyyy")</f>
        <v>Apr-2025</v>
      </c>
      <c r="L147" s="1" t="str">
        <f aca="false">_xlfn.IFS(E147&lt;25,"Young (18-24)",E147&lt;=40,"Adult (25-40)",E147&lt;=60,"Mid-Age (41-60)",TRUE(),"Senior (60+)")</f>
        <v>Young (18-24)</v>
      </c>
      <c r="M147" s="10" t="n">
        <f aca="false">IF(F147=0,0,ROUND(G147/F147,2))</f>
        <v>9.89</v>
      </c>
      <c r="N147" s="1" t="str">
        <f aca="false">IF(AND(G147&gt;3000,H147="Approved"),"High-Value Approved",IF(OR(H147="Pending",H147="Unknown"),"Needs Review","Normal"))</f>
        <v>High-Value Approved</v>
      </c>
      <c r="O147" s="1" t="str">
        <f aca="false">LEFT(B147,3)</f>
        <v>POL</v>
      </c>
      <c r="P147" s="1" t="str">
        <f aca="false">UPPER(D147)</f>
        <v>LIFE</v>
      </c>
      <c r="Q147" s="1" t="n">
        <f aca="true">NETWORKDAYS(C147,TODAY())</f>
        <v>350</v>
      </c>
    </row>
    <row r="148" customFormat="false" ht="15" hidden="false" customHeight="true" outlineLevel="0" collapsed="false">
      <c r="A148" s="1" t="n">
        <v>145</v>
      </c>
      <c r="B148" s="1" t="s">
        <v>168</v>
      </c>
      <c r="C148" s="4" t="n">
        <v>45661</v>
      </c>
      <c r="D148" s="1" t="s">
        <v>19</v>
      </c>
      <c r="E148" s="8" t="n">
        <v>24</v>
      </c>
      <c r="F148" s="9" t="n">
        <v>295.65</v>
      </c>
      <c r="G148" s="9" t="n">
        <v>0</v>
      </c>
      <c r="H148" s="1" t="s">
        <v>10</v>
      </c>
      <c r="I148" s="1" t="s">
        <v>318</v>
      </c>
      <c r="J148" s="8" t="n">
        <f aca="false">YEAR(C148)</f>
        <v>2025</v>
      </c>
      <c r="K148" s="1" t="str">
        <f aca="false">TEXT(C148,"mmm-yyyy")</f>
        <v>Jan-2025</v>
      </c>
      <c r="L148" s="1" t="str">
        <f aca="false">_xlfn.IFS(E148&lt;25,"Young (18-24)",E148&lt;=40,"Adult (25-40)",E148&lt;=60,"Mid-Age (41-60)",TRUE(),"Senior (60+)")</f>
        <v>Young (18-24)</v>
      </c>
      <c r="M148" s="10" t="n">
        <f aca="false">IF(F148=0,0,ROUND(G148/F148,2))</f>
        <v>0</v>
      </c>
      <c r="N148" s="1" t="str">
        <f aca="false">IF(AND(G148&gt;3000,H148="Approved"),"High-Value Approved",IF(OR(H148="Pending",H148="Unknown"),"Needs Review","Normal"))</f>
        <v>Normal</v>
      </c>
      <c r="O148" s="1" t="str">
        <f aca="false">LEFT(B148,3)</f>
        <v>POL</v>
      </c>
      <c r="P148" s="1" t="str">
        <f aca="false">UPPER(D148)</f>
        <v>HEALTH</v>
      </c>
      <c r="Q148" s="1" t="n">
        <f aca="true">NETWORKDAYS(C148,TODAY())</f>
        <v>427</v>
      </c>
    </row>
    <row r="149" customFormat="false" ht="15" hidden="false" customHeight="true" outlineLevel="0" collapsed="false">
      <c r="A149" s="1" t="n">
        <v>146</v>
      </c>
      <c r="B149" s="1" t="s">
        <v>169</v>
      </c>
      <c r="C149" s="4" t="n">
        <v>45939</v>
      </c>
      <c r="D149" s="1" t="s">
        <v>40</v>
      </c>
      <c r="E149" s="8" t="n">
        <v>78</v>
      </c>
      <c r="F149" s="9" t="n">
        <v>119.44</v>
      </c>
      <c r="G149" s="9" t="n">
        <v>1032.98</v>
      </c>
      <c r="H149" s="1" t="s">
        <v>17</v>
      </c>
      <c r="I149" s="1" t="s">
        <v>316</v>
      </c>
      <c r="J149" s="8" t="n">
        <f aca="false">YEAR(C149)</f>
        <v>2025</v>
      </c>
      <c r="K149" s="1" t="str">
        <f aca="false">TEXT(C149,"mmm-yyyy")</f>
        <v>Oct-2025</v>
      </c>
      <c r="L149" s="1" t="str">
        <f aca="false">_xlfn.IFS(E149&lt;25,"Young (18-24)",E149&lt;=40,"Adult (25-40)",E149&lt;=60,"Mid-Age (41-60)",TRUE(),"Senior (60+)")</f>
        <v>Senior (60+)</v>
      </c>
      <c r="M149" s="10" t="n">
        <f aca="false">IF(F149=0,0,ROUND(G149/F149,2))</f>
        <v>8.65</v>
      </c>
      <c r="N149" s="1" t="str">
        <f aca="false">IF(AND(G149&gt;3000,H149="Approved"),"High-Value Approved",IF(OR(H149="Pending",H149="Unknown"),"Needs Review","Normal"))</f>
        <v>Normal</v>
      </c>
      <c r="O149" s="1" t="str">
        <f aca="false">LEFT(B149,3)</f>
        <v>POL</v>
      </c>
      <c r="P149" s="1" t="str">
        <f aca="false">UPPER(D149)</f>
        <v>TRAVEL</v>
      </c>
      <c r="Q149" s="1" t="n">
        <f aca="true">NETWORKDAYS(C149,TODAY())</f>
        <v>229</v>
      </c>
    </row>
    <row r="150" customFormat="false" ht="15" hidden="false" customHeight="true" outlineLevel="0" collapsed="false">
      <c r="A150" s="1" t="n">
        <v>147</v>
      </c>
      <c r="B150" s="1" t="s">
        <v>170</v>
      </c>
      <c r="C150" s="4" t="n">
        <v>45889</v>
      </c>
      <c r="D150" s="1" t="s">
        <v>19</v>
      </c>
      <c r="E150" s="8" t="n">
        <v>79</v>
      </c>
      <c r="F150" s="9" t="n">
        <v>301.41</v>
      </c>
      <c r="G150" s="9" t="n">
        <v>0</v>
      </c>
      <c r="H150" s="1" t="s">
        <v>10</v>
      </c>
      <c r="I150" s="1" t="s">
        <v>318</v>
      </c>
      <c r="J150" s="8" t="n">
        <f aca="false">YEAR(C150)</f>
        <v>2025</v>
      </c>
      <c r="K150" s="1" t="str">
        <f aca="false">TEXT(C150,"mmm-yyyy")</f>
        <v>Aug-2025</v>
      </c>
      <c r="L150" s="1" t="str">
        <f aca="false">_xlfn.IFS(E150&lt;25,"Young (18-24)",E150&lt;=40,"Adult (25-40)",E150&lt;=60,"Mid-Age (41-60)",TRUE(),"Senior (60+)")</f>
        <v>Senior (60+)</v>
      </c>
      <c r="M150" s="10" t="n">
        <f aca="false">IF(F150=0,0,ROUND(G150/F150,2))</f>
        <v>0</v>
      </c>
      <c r="N150" s="1" t="str">
        <f aca="false">IF(AND(G150&gt;3000,H150="Approved"),"High-Value Approved",IF(OR(H150="Pending",H150="Unknown"),"Needs Review","Normal"))</f>
        <v>Normal</v>
      </c>
      <c r="O150" s="1" t="str">
        <f aca="false">LEFT(B150,3)</f>
        <v>POL</v>
      </c>
      <c r="P150" s="1" t="str">
        <f aca="false">UPPER(D150)</f>
        <v>HEALTH</v>
      </c>
      <c r="Q150" s="1" t="n">
        <f aca="true">NETWORKDAYS(C150,TODAY())</f>
        <v>265</v>
      </c>
    </row>
    <row r="151" customFormat="false" ht="15" hidden="false" customHeight="true" outlineLevel="0" collapsed="false">
      <c r="A151" s="1" t="n">
        <v>148</v>
      </c>
      <c r="B151" s="1" t="s">
        <v>171</v>
      </c>
      <c r="C151" s="4" t="n">
        <v>45698</v>
      </c>
      <c r="D151" s="1" t="s">
        <v>16</v>
      </c>
      <c r="E151" s="8" t="n">
        <v>29</v>
      </c>
      <c r="F151" s="9" t="n">
        <v>440.94</v>
      </c>
      <c r="G151" s="9" t="n">
        <v>4841.11</v>
      </c>
      <c r="H151" s="1" t="s">
        <v>17</v>
      </c>
      <c r="I151" s="1" t="s">
        <v>318</v>
      </c>
      <c r="J151" s="8" t="n">
        <f aca="false">YEAR(C151)</f>
        <v>2025</v>
      </c>
      <c r="K151" s="1" t="str">
        <f aca="false">TEXT(C151,"mmm-yyyy")</f>
        <v>Feb-2025</v>
      </c>
      <c r="L151" s="1" t="str">
        <f aca="false">_xlfn.IFS(E151&lt;25,"Young (18-24)",E151&lt;=40,"Adult (25-40)",E151&lt;=60,"Mid-Age (41-60)",TRUE(),"Senior (60+)")</f>
        <v>Adult (25-40)</v>
      </c>
      <c r="M151" s="10" t="n">
        <f aca="false">IF(F151=0,0,ROUND(G151/F151,2))</f>
        <v>10.98</v>
      </c>
      <c r="N151" s="1" t="str">
        <f aca="false">IF(AND(G151&gt;3000,H151="Approved"),"High-Value Approved",IF(OR(H151="Pending",H151="Unknown"),"Needs Review","Normal"))</f>
        <v>High-Value Approved</v>
      </c>
      <c r="O151" s="1" t="str">
        <f aca="false">LEFT(B151,3)</f>
        <v>POL</v>
      </c>
      <c r="P151" s="1" t="str">
        <f aca="false">UPPER(D151)</f>
        <v>PROPERTY</v>
      </c>
      <c r="Q151" s="1" t="n">
        <f aca="true">NETWORKDAYS(C151,TODAY())</f>
        <v>402</v>
      </c>
    </row>
    <row r="152" customFormat="false" ht="15" hidden="false" customHeight="true" outlineLevel="0" collapsed="false">
      <c r="A152" s="1" t="n">
        <v>149</v>
      </c>
      <c r="B152" s="1" t="s">
        <v>172</v>
      </c>
      <c r="C152" s="4" t="n">
        <v>45984</v>
      </c>
      <c r="D152" s="1" t="s">
        <v>12</v>
      </c>
      <c r="E152" s="8" t="n">
        <v>45</v>
      </c>
      <c r="F152" s="9" t="n">
        <v>360.25</v>
      </c>
      <c r="G152" s="9" t="n">
        <v>2486.61</v>
      </c>
      <c r="H152" s="1" t="s">
        <v>13</v>
      </c>
      <c r="I152" s="1" t="s">
        <v>318</v>
      </c>
      <c r="J152" s="8" t="n">
        <f aca="false">YEAR(C152)</f>
        <v>2025</v>
      </c>
      <c r="K152" s="1" t="str">
        <f aca="false">TEXT(C152,"mmm-yyyy")</f>
        <v>Nov-2025</v>
      </c>
      <c r="L152" s="1" t="str">
        <f aca="false">_xlfn.IFS(E152&lt;25,"Young (18-24)",E152&lt;=40,"Adult (25-40)",E152&lt;=60,"Mid-Age (41-60)",TRUE(),"Senior (60+)")</f>
        <v>Mid-Age (41-60)</v>
      </c>
      <c r="M152" s="10" t="n">
        <f aca="false">IF(F152=0,0,ROUND(G152/F152,2))</f>
        <v>6.9</v>
      </c>
      <c r="N152" s="1" t="str">
        <f aca="false">IF(AND(G152&gt;3000,H152="Approved"),"High-Value Approved",IF(OR(H152="Pending",H152="Unknown"),"Needs Review","Normal"))</f>
        <v>Needs Review</v>
      </c>
      <c r="O152" s="1" t="str">
        <f aca="false">LEFT(B152,3)</f>
        <v>POL</v>
      </c>
      <c r="P152" s="1" t="str">
        <f aca="false">UPPER(D152)</f>
        <v>MOTOR</v>
      </c>
      <c r="Q152" s="1" t="n">
        <f aca="true">NETWORKDAYS(C152,TODAY())</f>
        <v>197</v>
      </c>
    </row>
    <row r="153" customFormat="false" ht="15" hidden="false" customHeight="true" outlineLevel="0" collapsed="false">
      <c r="A153" s="1" t="n">
        <v>150</v>
      </c>
      <c r="B153" s="1" t="s">
        <v>173</v>
      </c>
      <c r="C153" s="4" t="n">
        <v>45998</v>
      </c>
      <c r="D153" s="1" t="s">
        <v>12</v>
      </c>
      <c r="E153" s="8" t="n">
        <v>59</v>
      </c>
      <c r="F153" s="9" t="n">
        <v>327.44</v>
      </c>
      <c r="G153" s="9" t="n">
        <v>0</v>
      </c>
      <c r="H153" s="1" t="s">
        <v>10</v>
      </c>
      <c r="I153" s="1" t="s">
        <v>318</v>
      </c>
      <c r="J153" s="8" t="n">
        <f aca="false">YEAR(C153)</f>
        <v>2025</v>
      </c>
      <c r="K153" s="1" t="str">
        <f aca="false">TEXT(C153,"mmm-yyyy")</f>
        <v>Dec-2025</v>
      </c>
      <c r="L153" s="1" t="str">
        <f aca="false">_xlfn.IFS(E153&lt;25,"Young (18-24)",E153&lt;=40,"Adult (25-40)",E153&lt;=60,"Mid-Age (41-60)",TRUE(),"Senior (60+)")</f>
        <v>Mid-Age (41-60)</v>
      </c>
      <c r="M153" s="10" t="n">
        <f aca="false">IF(F153=0,0,ROUND(G153/F153,2))</f>
        <v>0</v>
      </c>
      <c r="N153" s="1" t="str">
        <f aca="false">IF(AND(G153&gt;3000,H153="Approved"),"High-Value Approved",IF(OR(H153="Pending",H153="Unknown"),"Needs Review","Normal"))</f>
        <v>Normal</v>
      </c>
      <c r="O153" s="1" t="str">
        <f aca="false">LEFT(B153,3)</f>
        <v>POL</v>
      </c>
      <c r="P153" s="1" t="str">
        <f aca="false">UPPER(D153)</f>
        <v>MOTOR</v>
      </c>
      <c r="Q153" s="1" t="n">
        <f aca="true">NETWORKDAYS(C153,TODAY())</f>
        <v>187</v>
      </c>
    </row>
    <row r="154" customFormat="false" ht="15" hidden="false" customHeight="true" outlineLevel="0" collapsed="false">
      <c r="A154" s="1" t="n">
        <v>151</v>
      </c>
      <c r="B154" s="1" t="s">
        <v>174</v>
      </c>
      <c r="C154" s="4" t="n">
        <v>45738</v>
      </c>
      <c r="D154" s="1" t="s">
        <v>19</v>
      </c>
      <c r="E154" s="8" t="n">
        <v>32</v>
      </c>
      <c r="F154" s="9" t="n">
        <v>403.35</v>
      </c>
      <c r="G154" s="9" t="n">
        <v>2599.36</v>
      </c>
      <c r="H154" s="1" t="s">
        <v>30</v>
      </c>
      <c r="I154" s="1" t="s">
        <v>322</v>
      </c>
      <c r="J154" s="8" t="n">
        <f aca="false">YEAR(C154)</f>
        <v>2025</v>
      </c>
      <c r="K154" s="1" t="str">
        <f aca="false">TEXT(C154,"mmm-yyyy")</f>
        <v>Mar-2025</v>
      </c>
      <c r="L154" s="1" t="str">
        <f aca="false">_xlfn.IFS(E154&lt;25,"Young (18-24)",E154&lt;=40,"Adult (25-40)",E154&lt;=60,"Mid-Age (41-60)",TRUE(),"Senior (60+)")</f>
        <v>Adult (25-40)</v>
      </c>
      <c r="M154" s="10" t="n">
        <f aca="false">IF(F154=0,0,ROUND(G154/F154,2))</f>
        <v>6.44</v>
      </c>
      <c r="N154" s="1" t="str">
        <f aca="false">IF(AND(G154&gt;3000,H154="Approved"),"High-Value Approved",IF(OR(H154="Pending",H154="Unknown"),"Needs Review","Normal"))</f>
        <v>Normal</v>
      </c>
      <c r="O154" s="1" t="str">
        <f aca="false">LEFT(B154,3)</f>
        <v>POL</v>
      </c>
      <c r="P154" s="1" t="str">
        <f aca="false">UPPER(D154)</f>
        <v>HEALTH</v>
      </c>
      <c r="Q154" s="1" t="n">
        <f aca="true">NETWORKDAYS(C154,TODAY())</f>
        <v>372</v>
      </c>
    </row>
    <row r="155" customFormat="false" ht="15" hidden="false" customHeight="true" outlineLevel="0" collapsed="false">
      <c r="A155" s="1" t="n">
        <v>152</v>
      </c>
      <c r="B155" s="1" t="s">
        <v>175</v>
      </c>
      <c r="C155" s="4" t="n">
        <v>45718</v>
      </c>
      <c r="D155" s="1" t="s">
        <v>12</v>
      </c>
      <c r="E155" s="8" t="n">
        <v>44</v>
      </c>
      <c r="F155" s="9" t="n">
        <v>340.69</v>
      </c>
      <c r="G155" s="9" t="n">
        <v>0</v>
      </c>
      <c r="H155" s="1" t="s">
        <v>10</v>
      </c>
      <c r="I155" s="1" t="s">
        <v>318</v>
      </c>
      <c r="J155" s="8" t="n">
        <f aca="false">YEAR(C155)</f>
        <v>2025</v>
      </c>
      <c r="K155" s="1" t="str">
        <f aca="false">TEXT(C155,"mmm-yyyy")</f>
        <v>Mar-2025</v>
      </c>
      <c r="L155" s="1" t="str">
        <f aca="false">_xlfn.IFS(E155&lt;25,"Young (18-24)",E155&lt;=40,"Adult (25-40)",E155&lt;=60,"Mid-Age (41-60)",TRUE(),"Senior (60+)")</f>
        <v>Mid-Age (41-60)</v>
      </c>
      <c r="M155" s="10" t="n">
        <f aca="false">IF(F155=0,0,ROUND(G155/F155,2))</f>
        <v>0</v>
      </c>
      <c r="N155" s="1" t="str">
        <f aca="false">IF(AND(G155&gt;3000,H155="Approved"),"High-Value Approved",IF(OR(H155="Pending",H155="Unknown"),"Needs Review","Normal"))</f>
        <v>Normal</v>
      </c>
      <c r="O155" s="1" t="str">
        <f aca="false">LEFT(B155,3)</f>
        <v>POL</v>
      </c>
      <c r="P155" s="1" t="str">
        <f aca="false">UPPER(D155)</f>
        <v>MOTOR</v>
      </c>
      <c r="Q155" s="1" t="n">
        <f aca="true">NETWORKDAYS(C155,TODAY())</f>
        <v>387</v>
      </c>
    </row>
    <row r="156" customFormat="false" ht="15" hidden="false" customHeight="true" outlineLevel="0" collapsed="false">
      <c r="A156" s="1" t="n">
        <v>153</v>
      </c>
      <c r="B156" s="1" t="s">
        <v>176</v>
      </c>
      <c r="C156" s="4" t="n">
        <v>45853</v>
      </c>
      <c r="D156" s="1" t="s">
        <v>12</v>
      </c>
      <c r="E156" s="8" t="n">
        <v>78</v>
      </c>
      <c r="F156" s="9" t="n">
        <v>255.77</v>
      </c>
      <c r="G156" s="9" t="n">
        <v>1447.69</v>
      </c>
      <c r="H156" s="1" t="s">
        <v>13</v>
      </c>
      <c r="I156" s="1" t="s">
        <v>318</v>
      </c>
      <c r="J156" s="8" t="n">
        <f aca="false">YEAR(C156)</f>
        <v>2025</v>
      </c>
      <c r="K156" s="1" t="str">
        <f aca="false">TEXT(C156,"mmm-yyyy")</f>
        <v>Jul-2025</v>
      </c>
      <c r="L156" s="1" t="str">
        <f aca="false">_xlfn.IFS(E156&lt;25,"Young (18-24)",E156&lt;=40,"Adult (25-40)",E156&lt;=60,"Mid-Age (41-60)",TRUE(),"Senior (60+)")</f>
        <v>Senior (60+)</v>
      </c>
      <c r="M156" s="10" t="n">
        <f aca="false">IF(F156=0,0,ROUND(G156/F156,2))</f>
        <v>5.66</v>
      </c>
      <c r="N156" s="1" t="str">
        <f aca="false">IF(AND(G156&gt;3000,H156="Approved"),"High-Value Approved",IF(OR(H156="Pending",H156="Unknown"),"Needs Review","Normal"))</f>
        <v>Needs Review</v>
      </c>
      <c r="O156" s="1" t="str">
        <f aca="false">LEFT(B156,3)</f>
        <v>POL</v>
      </c>
      <c r="P156" s="1" t="str">
        <f aca="false">UPPER(D156)</f>
        <v>MOTOR</v>
      </c>
      <c r="Q156" s="1" t="n">
        <f aca="true">NETWORKDAYS(C156,TODAY())</f>
        <v>291</v>
      </c>
    </row>
    <row r="157" customFormat="false" ht="15" hidden="false" customHeight="true" outlineLevel="0" collapsed="false">
      <c r="A157" s="1" t="n">
        <v>154</v>
      </c>
      <c r="B157" s="1" t="s">
        <v>177</v>
      </c>
      <c r="C157" s="4" t="n">
        <v>45924</v>
      </c>
      <c r="D157" s="1" t="s">
        <v>19</v>
      </c>
      <c r="E157" s="8" t="n">
        <v>46</v>
      </c>
      <c r="F157" s="9" t="n">
        <v>387.42</v>
      </c>
      <c r="G157" s="9" t="n">
        <v>748.91</v>
      </c>
      <c r="H157" s="1" t="s">
        <v>30</v>
      </c>
      <c r="I157" s="1" t="s">
        <v>319</v>
      </c>
      <c r="J157" s="8" t="n">
        <f aca="false">YEAR(C157)</f>
        <v>2025</v>
      </c>
      <c r="K157" s="1" t="str">
        <f aca="false">TEXT(C157,"mmm-yyyy")</f>
        <v>Sep-2025</v>
      </c>
      <c r="L157" s="1" t="str">
        <f aca="false">_xlfn.IFS(E157&lt;25,"Young (18-24)",E157&lt;=40,"Adult (25-40)",E157&lt;=60,"Mid-Age (41-60)",TRUE(),"Senior (60+)")</f>
        <v>Mid-Age (41-60)</v>
      </c>
      <c r="M157" s="10" t="n">
        <f aca="false">IF(F157=0,0,ROUND(G157/F157,2))</f>
        <v>1.93</v>
      </c>
      <c r="N157" s="1" t="str">
        <f aca="false">IF(AND(G157&gt;3000,H157="Approved"),"High-Value Approved",IF(OR(H157="Pending",H157="Unknown"),"Needs Review","Normal"))</f>
        <v>Normal</v>
      </c>
      <c r="O157" s="1" t="str">
        <f aca="false">LEFT(B157,3)</f>
        <v>POL</v>
      </c>
      <c r="P157" s="1" t="str">
        <f aca="false">UPPER(D157)</f>
        <v>HEALTH</v>
      </c>
      <c r="Q157" s="1" t="n">
        <f aca="true">NETWORKDAYS(C157,TODAY())</f>
        <v>240</v>
      </c>
    </row>
    <row r="158" customFormat="false" ht="15" hidden="false" customHeight="true" outlineLevel="0" collapsed="false">
      <c r="A158" s="1" t="n">
        <v>155</v>
      </c>
      <c r="B158" s="1" t="s">
        <v>178</v>
      </c>
      <c r="C158" s="4" t="n">
        <v>46113</v>
      </c>
      <c r="D158" s="1" t="s">
        <v>12</v>
      </c>
      <c r="E158" s="8" t="n">
        <v>75</v>
      </c>
      <c r="F158" s="9" t="n">
        <v>284.74</v>
      </c>
      <c r="G158" s="9" t="n">
        <v>0</v>
      </c>
      <c r="H158" s="1" t="s">
        <v>10</v>
      </c>
      <c r="I158" s="1" t="s">
        <v>318</v>
      </c>
      <c r="J158" s="8" t="n">
        <f aca="false">YEAR(C158)</f>
        <v>2026</v>
      </c>
      <c r="K158" s="1" t="str">
        <f aca="false">TEXT(C158,"mmm-yyyy")</f>
        <v>Apr-2026</v>
      </c>
      <c r="L158" s="1" t="str">
        <f aca="false">_xlfn.IFS(E158&lt;25,"Young (18-24)",E158&lt;=40,"Adult (25-40)",E158&lt;=60,"Mid-Age (41-60)",TRUE(),"Senior (60+)")</f>
        <v>Senior (60+)</v>
      </c>
      <c r="M158" s="10" t="n">
        <f aca="false">IF(F158=0,0,ROUND(G158/F158,2))</f>
        <v>0</v>
      </c>
      <c r="N158" s="1" t="str">
        <f aca="false">IF(AND(G158&gt;3000,H158="Approved"),"High-Value Approved",IF(OR(H158="Pending",H158="Unknown"),"Needs Review","Normal"))</f>
        <v>Normal</v>
      </c>
      <c r="O158" s="1" t="str">
        <f aca="false">LEFT(B158,3)</f>
        <v>POL</v>
      </c>
      <c r="P158" s="1" t="str">
        <f aca="false">UPPER(D158)</f>
        <v>MOTOR</v>
      </c>
      <c r="Q158" s="1" t="n">
        <f aca="true">NETWORKDAYS(C158,TODAY())</f>
        <v>105</v>
      </c>
    </row>
    <row r="159" customFormat="false" ht="15" hidden="false" customHeight="true" outlineLevel="0" collapsed="false">
      <c r="A159" s="1" t="n">
        <v>156</v>
      </c>
      <c r="B159" s="1" t="s">
        <v>179</v>
      </c>
      <c r="C159" s="4" t="n">
        <v>46193</v>
      </c>
      <c r="D159" s="1" t="s">
        <v>19</v>
      </c>
      <c r="E159" s="8" t="n">
        <v>46</v>
      </c>
      <c r="F159" s="9" t="n">
        <v>443.15</v>
      </c>
      <c r="G159" s="9" t="n">
        <v>0</v>
      </c>
      <c r="H159" s="1" t="s">
        <v>10</v>
      </c>
      <c r="I159" s="1" t="s">
        <v>319</v>
      </c>
      <c r="J159" s="8" t="n">
        <f aca="false">YEAR(C159)</f>
        <v>2026</v>
      </c>
      <c r="K159" s="1" t="str">
        <f aca="false">TEXT(C159,"mmm-yyyy")</f>
        <v>Jun-2026</v>
      </c>
      <c r="L159" s="1" t="str">
        <f aca="false">_xlfn.IFS(E159&lt;25,"Young (18-24)",E159&lt;=40,"Adult (25-40)",E159&lt;=60,"Mid-Age (41-60)",TRUE(),"Senior (60+)")</f>
        <v>Mid-Age (41-60)</v>
      </c>
      <c r="M159" s="10" t="n">
        <f aca="false">IF(F159=0,0,ROUND(G159/F159,2))</f>
        <v>0</v>
      </c>
      <c r="N159" s="1" t="str">
        <f aca="false">IF(AND(G159&gt;3000,H159="Approved"),"High-Value Approved",IF(OR(H159="Pending",H159="Unknown"),"Needs Review","Normal"))</f>
        <v>Normal</v>
      </c>
      <c r="O159" s="1" t="str">
        <f aca="false">LEFT(B159,3)</f>
        <v>POL</v>
      </c>
      <c r="P159" s="1" t="str">
        <f aca="false">UPPER(D159)</f>
        <v>HEALTH</v>
      </c>
      <c r="Q159" s="1" t="n">
        <f aca="true">NETWORKDAYS(C159,TODAY())</f>
        <v>47</v>
      </c>
    </row>
    <row r="160" customFormat="false" ht="15" hidden="false" customHeight="true" outlineLevel="0" collapsed="false">
      <c r="A160" s="1" t="n">
        <v>157</v>
      </c>
      <c r="B160" s="1" t="s">
        <v>180</v>
      </c>
      <c r="C160" s="4" t="n">
        <v>45841</v>
      </c>
      <c r="D160" s="1" t="s">
        <v>19</v>
      </c>
      <c r="E160" s="8" t="n">
        <v>71</v>
      </c>
      <c r="F160" s="9" t="n">
        <v>264.81</v>
      </c>
      <c r="G160" s="9" t="n">
        <v>420.7</v>
      </c>
      <c r="H160" s="1" t="s">
        <v>17</v>
      </c>
      <c r="I160" s="1" t="s">
        <v>318</v>
      </c>
      <c r="J160" s="8" t="n">
        <f aca="false">YEAR(C160)</f>
        <v>2025</v>
      </c>
      <c r="K160" s="1" t="str">
        <f aca="false">TEXT(C160,"mmm-yyyy")</f>
        <v>Jul-2025</v>
      </c>
      <c r="L160" s="1" t="str">
        <f aca="false">_xlfn.IFS(E160&lt;25,"Young (18-24)",E160&lt;=40,"Adult (25-40)",E160&lt;=60,"Mid-Age (41-60)",TRUE(),"Senior (60+)")</f>
        <v>Senior (60+)</v>
      </c>
      <c r="M160" s="10" t="n">
        <f aca="false">IF(F160=0,0,ROUND(G160/F160,2))</f>
        <v>1.59</v>
      </c>
      <c r="N160" s="1" t="str">
        <f aca="false">IF(AND(G160&gt;3000,H160="Approved"),"High-Value Approved",IF(OR(H160="Pending",H160="Unknown"),"Needs Review","Normal"))</f>
        <v>Normal</v>
      </c>
      <c r="O160" s="1" t="str">
        <f aca="false">LEFT(B160,3)</f>
        <v>POL</v>
      </c>
      <c r="P160" s="1" t="str">
        <f aca="false">UPPER(D160)</f>
        <v>HEALTH</v>
      </c>
      <c r="Q160" s="1" t="n">
        <f aca="true">NETWORKDAYS(C160,TODAY())</f>
        <v>299</v>
      </c>
    </row>
    <row r="161" customFormat="false" ht="15" hidden="false" customHeight="true" outlineLevel="0" collapsed="false">
      <c r="A161" s="1" t="n">
        <v>158</v>
      </c>
      <c r="B161" s="1" t="s">
        <v>181</v>
      </c>
      <c r="C161" s="4" t="n">
        <v>46141</v>
      </c>
      <c r="D161" s="1" t="s">
        <v>19</v>
      </c>
      <c r="E161" s="8" t="n">
        <v>60</v>
      </c>
      <c r="F161" s="9" t="n">
        <v>292.08</v>
      </c>
      <c r="G161" s="9" t="n">
        <v>0</v>
      </c>
      <c r="H161" s="1" t="s">
        <v>10</v>
      </c>
      <c r="I161" s="1" t="s">
        <v>318</v>
      </c>
      <c r="J161" s="8" t="n">
        <f aca="false">YEAR(C161)</f>
        <v>2026</v>
      </c>
      <c r="K161" s="1" t="str">
        <f aca="false">TEXT(C161,"mmm-yyyy")</f>
        <v>Apr-2026</v>
      </c>
      <c r="L161" s="1" t="str">
        <f aca="false">_xlfn.IFS(E161&lt;25,"Young (18-24)",E161&lt;=40,"Adult (25-40)",E161&lt;=60,"Mid-Age (41-60)",TRUE(),"Senior (60+)")</f>
        <v>Mid-Age (41-60)</v>
      </c>
      <c r="M161" s="10" t="n">
        <f aca="false">IF(F161=0,0,ROUND(G161/F161,2))</f>
        <v>0</v>
      </c>
      <c r="N161" s="1" t="str">
        <f aca="false">IF(AND(G161&gt;3000,H161="Approved"),"High-Value Approved",IF(OR(H161="Pending",H161="Unknown"),"Needs Review","Normal"))</f>
        <v>Normal</v>
      </c>
      <c r="O161" s="1" t="str">
        <f aca="false">LEFT(B161,3)</f>
        <v>POL</v>
      </c>
      <c r="P161" s="1" t="str">
        <f aca="false">UPPER(D161)</f>
        <v>HEALTH</v>
      </c>
      <c r="Q161" s="1" t="n">
        <f aca="true">NETWORKDAYS(C161,TODAY())</f>
        <v>85</v>
      </c>
    </row>
    <row r="162" customFormat="false" ht="15" hidden="false" customHeight="true" outlineLevel="0" collapsed="false">
      <c r="A162" s="1" t="n">
        <v>159</v>
      </c>
      <c r="B162" s="1" t="s">
        <v>182</v>
      </c>
      <c r="C162" s="4" t="n">
        <v>45820</v>
      </c>
      <c r="D162" s="1" t="s">
        <v>19</v>
      </c>
      <c r="E162" s="8" t="n">
        <v>23</v>
      </c>
      <c r="F162" s="9" t="n">
        <v>327.37</v>
      </c>
      <c r="G162" s="9" t="n">
        <v>2174.35</v>
      </c>
      <c r="H162" s="1" t="s">
        <v>13</v>
      </c>
      <c r="I162" s="1" t="s">
        <v>318</v>
      </c>
      <c r="J162" s="8" t="n">
        <f aca="false">YEAR(C162)</f>
        <v>2025</v>
      </c>
      <c r="K162" s="1" t="str">
        <f aca="false">TEXT(C162,"mmm-yyyy")</f>
        <v>Jun-2025</v>
      </c>
      <c r="L162" s="1" t="str">
        <f aca="false">_xlfn.IFS(E162&lt;25,"Young (18-24)",E162&lt;=40,"Adult (25-40)",E162&lt;=60,"Mid-Age (41-60)",TRUE(),"Senior (60+)")</f>
        <v>Young (18-24)</v>
      </c>
      <c r="M162" s="10" t="n">
        <f aca="false">IF(F162=0,0,ROUND(G162/F162,2))</f>
        <v>6.64</v>
      </c>
      <c r="N162" s="1" t="str">
        <f aca="false">IF(AND(G162&gt;3000,H162="Approved"),"High-Value Approved",IF(OR(H162="Pending",H162="Unknown"),"Needs Review","Normal"))</f>
        <v>Needs Review</v>
      </c>
      <c r="O162" s="1" t="str">
        <f aca="false">LEFT(B162,3)</f>
        <v>POL</v>
      </c>
      <c r="P162" s="1" t="str">
        <f aca="false">UPPER(D162)</f>
        <v>HEALTH</v>
      </c>
      <c r="Q162" s="1" t="n">
        <f aca="true">NETWORKDAYS(C162,TODAY())</f>
        <v>314</v>
      </c>
    </row>
    <row r="163" customFormat="false" ht="15" hidden="false" customHeight="true" outlineLevel="0" collapsed="false">
      <c r="A163" s="1" t="n">
        <v>160</v>
      </c>
      <c r="B163" s="1" t="s">
        <v>183</v>
      </c>
      <c r="C163" s="4" t="n">
        <v>45874</v>
      </c>
      <c r="D163" s="1" t="s">
        <v>16</v>
      </c>
      <c r="E163" s="8" t="n">
        <v>40</v>
      </c>
      <c r="F163" s="9" t="n">
        <v>336.95</v>
      </c>
      <c r="G163" s="9" t="n">
        <v>0</v>
      </c>
      <c r="H163" s="1" t="s">
        <v>10</v>
      </c>
      <c r="I163" s="1" t="s">
        <v>318</v>
      </c>
      <c r="J163" s="8" t="n">
        <f aca="false">YEAR(C163)</f>
        <v>2025</v>
      </c>
      <c r="K163" s="1" t="str">
        <f aca="false">TEXT(C163,"mmm-yyyy")</f>
        <v>Aug-2025</v>
      </c>
      <c r="L163" s="1" t="str">
        <f aca="false">_xlfn.IFS(E163&lt;25,"Young (18-24)",E163&lt;=40,"Adult (25-40)",E163&lt;=60,"Mid-Age (41-60)",TRUE(),"Senior (60+)")</f>
        <v>Adult (25-40)</v>
      </c>
      <c r="M163" s="10" t="n">
        <f aca="false">IF(F163=0,0,ROUND(G163/F163,2))</f>
        <v>0</v>
      </c>
      <c r="N163" s="1" t="str">
        <f aca="false">IF(AND(G163&gt;3000,H163="Approved"),"High-Value Approved",IF(OR(H163="Pending",H163="Unknown"),"Needs Review","Normal"))</f>
        <v>Normal</v>
      </c>
      <c r="O163" s="1" t="str">
        <f aca="false">LEFT(B163,3)</f>
        <v>POL</v>
      </c>
      <c r="P163" s="1" t="str">
        <f aca="false">UPPER(D163)</f>
        <v>PROPERTY</v>
      </c>
      <c r="Q163" s="1" t="n">
        <f aca="true">NETWORKDAYS(C163,TODAY())</f>
        <v>276</v>
      </c>
    </row>
    <row r="164" customFormat="false" ht="15" hidden="false" customHeight="true" outlineLevel="0" collapsed="false">
      <c r="A164" s="1" t="n">
        <v>161</v>
      </c>
      <c r="B164" s="1" t="s">
        <v>184</v>
      </c>
      <c r="C164" s="4" t="n">
        <v>45939</v>
      </c>
      <c r="D164" s="1" t="s">
        <v>19</v>
      </c>
      <c r="E164" s="8" t="n">
        <v>22</v>
      </c>
      <c r="F164" s="9" t="n">
        <v>382.99</v>
      </c>
      <c r="G164" s="9" t="n">
        <v>0</v>
      </c>
      <c r="H164" s="1" t="s">
        <v>10</v>
      </c>
      <c r="I164" s="1" t="s">
        <v>316</v>
      </c>
      <c r="J164" s="8" t="n">
        <f aca="false">YEAR(C164)</f>
        <v>2025</v>
      </c>
      <c r="K164" s="1" t="str">
        <f aca="false">TEXT(C164,"mmm-yyyy")</f>
        <v>Oct-2025</v>
      </c>
      <c r="L164" s="1" t="str">
        <f aca="false">_xlfn.IFS(E164&lt;25,"Young (18-24)",E164&lt;=40,"Adult (25-40)",E164&lt;=60,"Mid-Age (41-60)",TRUE(),"Senior (60+)")</f>
        <v>Young (18-24)</v>
      </c>
      <c r="M164" s="10" t="n">
        <f aca="false">IF(F164=0,0,ROUND(G164/F164,2))</f>
        <v>0</v>
      </c>
      <c r="N164" s="1" t="str">
        <f aca="false">IF(AND(G164&gt;3000,H164="Approved"),"High-Value Approved",IF(OR(H164="Pending",H164="Unknown"),"Needs Review","Normal"))</f>
        <v>Normal</v>
      </c>
      <c r="O164" s="1" t="str">
        <f aca="false">LEFT(B164,3)</f>
        <v>POL</v>
      </c>
      <c r="P164" s="1" t="str">
        <f aca="false">UPPER(D164)</f>
        <v>HEALTH</v>
      </c>
      <c r="Q164" s="1" t="n">
        <f aca="true">NETWORKDAYS(C164,TODAY())</f>
        <v>229</v>
      </c>
    </row>
    <row r="165" customFormat="false" ht="15" hidden="false" customHeight="true" outlineLevel="0" collapsed="false">
      <c r="A165" s="1" t="n">
        <v>162</v>
      </c>
      <c r="B165" s="1" t="s">
        <v>185</v>
      </c>
      <c r="C165" s="4" t="n">
        <v>45744</v>
      </c>
      <c r="D165" s="1" t="s">
        <v>19</v>
      </c>
      <c r="E165" s="8" t="n">
        <v>26</v>
      </c>
      <c r="F165" s="9" t="n">
        <v>341.88</v>
      </c>
      <c r="G165" s="9" t="n">
        <v>2964.27</v>
      </c>
      <c r="H165" s="1" t="s">
        <v>30</v>
      </c>
      <c r="I165" s="1" t="s">
        <v>320</v>
      </c>
      <c r="J165" s="8" t="n">
        <f aca="false">YEAR(C165)</f>
        <v>2025</v>
      </c>
      <c r="K165" s="1" t="str">
        <f aca="false">TEXT(C165,"mmm-yyyy")</f>
        <v>Mar-2025</v>
      </c>
      <c r="L165" s="1" t="str">
        <f aca="false">_xlfn.IFS(E165&lt;25,"Young (18-24)",E165&lt;=40,"Adult (25-40)",E165&lt;=60,"Mid-Age (41-60)",TRUE(),"Senior (60+)")</f>
        <v>Adult (25-40)</v>
      </c>
      <c r="M165" s="10" t="n">
        <f aca="false">IF(F165=0,0,ROUND(G165/F165,2))</f>
        <v>8.67</v>
      </c>
      <c r="N165" s="1" t="str">
        <f aca="false">IF(AND(G165&gt;3000,H165="Approved"),"High-Value Approved",IF(OR(H165="Pending",H165="Unknown"),"Needs Review","Normal"))</f>
        <v>Normal</v>
      </c>
      <c r="O165" s="1" t="str">
        <f aca="false">LEFT(B165,3)</f>
        <v>POL</v>
      </c>
      <c r="P165" s="1" t="str">
        <f aca="false">UPPER(D165)</f>
        <v>HEALTH</v>
      </c>
      <c r="Q165" s="1" t="n">
        <f aca="true">NETWORKDAYS(C165,TODAY())</f>
        <v>368</v>
      </c>
    </row>
    <row r="166" customFormat="false" ht="15" hidden="false" customHeight="true" outlineLevel="0" collapsed="false">
      <c r="A166" s="1" t="n">
        <v>163</v>
      </c>
      <c r="B166" s="1" t="s">
        <v>186</v>
      </c>
      <c r="C166" s="4" t="n">
        <v>46210</v>
      </c>
      <c r="D166" s="1" t="s">
        <v>9</v>
      </c>
      <c r="E166" s="8" t="n">
        <v>52</v>
      </c>
      <c r="F166" s="9" t="n">
        <v>311.76</v>
      </c>
      <c r="G166" s="9" t="n">
        <v>3597.64</v>
      </c>
      <c r="H166" s="1" t="s">
        <v>30</v>
      </c>
      <c r="I166" s="1" t="s">
        <v>318</v>
      </c>
      <c r="J166" s="8" t="n">
        <f aca="false">YEAR(C166)</f>
        <v>2026</v>
      </c>
      <c r="K166" s="1" t="str">
        <f aca="false">TEXT(C166,"mmm-yyyy")</f>
        <v>Jul-2026</v>
      </c>
      <c r="L166" s="1" t="str">
        <f aca="false">_xlfn.IFS(E166&lt;25,"Young (18-24)",E166&lt;=40,"Adult (25-40)",E166&lt;=60,"Mid-Age (41-60)",TRUE(),"Senior (60+)")</f>
        <v>Mid-Age (41-60)</v>
      </c>
      <c r="M166" s="10" t="n">
        <f aca="false">IF(F166=0,0,ROUND(G166/F166,2))</f>
        <v>11.54</v>
      </c>
      <c r="N166" s="1" t="str">
        <f aca="false">IF(AND(G166&gt;3000,H166="Approved"),"High-Value Approved",IF(OR(H166="Pending",H166="Unknown"),"Needs Review","Normal"))</f>
        <v>Normal</v>
      </c>
      <c r="O166" s="1" t="str">
        <f aca="false">LEFT(B166,3)</f>
        <v>POL</v>
      </c>
      <c r="P166" s="1" t="str">
        <f aca="false">UPPER(D166)</f>
        <v>LIFE</v>
      </c>
      <c r="Q166" s="1" t="n">
        <f aca="true">NETWORKDAYS(C166,TODAY())</f>
        <v>36</v>
      </c>
    </row>
    <row r="167" customFormat="false" ht="15" hidden="false" customHeight="true" outlineLevel="0" collapsed="false">
      <c r="A167" s="1" t="n">
        <v>164</v>
      </c>
      <c r="B167" s="1" t="s">
        <v>187</v>
      </c>
      <c r="C167" s="4" t="n">
        <v>45983</v>
      </c>
      <c r="D167" s="1" t="s">
        <v>19</v>
      </c>
      <c r="E167" s="8" t="n">
        <v>35</v>
      </c>
      <c r="F167" s="9" t="n">
        <v>419</v>
      </c>
      <c r="G167" s="9" t="n">
        <v>1833.43</v>
      </c>
      <c r="H167" s="1" t="s">
        <v>17</v>
      </c>
      <c r="I167" s="1" t="s">
        <v>322</v>
      </c>
      <c r="J167" s="8" t="n">
        <f aca="false">YEAR(C167)</f>
        <v>2025</v>
      </c>
      <c r="K167" s="1" t="str">
        <f aca="false">TEXT(C167,"mmm-yyyy")</f>
        <v>Nov-2025</v>
      </c>
      <c r="L167" s="1" t="str">
        <f aca="false">_xlfn.IFS(E167&lt;25,"Young (18-24)",E167&lt;=40,"Adult (25-40)",E167&lt;=60,"Mid-Age (41-60)",TRUE(),"Senior (60+)")</f>
        <v>Adult (25-40)</v>
      </c>
      <c r="M167" s="10" t="n">
        <f aca="false">IF(F167=0,0,ROUND(G167/F167,2))</f>
        <v>4.38</v>
      </c>
      <c r="N167" s="1" t="str">
        <f aca="false">IF(AND(G167&gt;3000,H167="Approved"),"High-Value Approved",IF(OR(H167="Pending",H167="Unknown"),"Needs Review","Normal"))</f>
        <v>Normal</v>
      </c>
      <c r="O167" s="1" t="str">
        <f aca="false">LEFT(B167,3)</f>
        <v>POL</v>
      </c>
      <c r="P167" s="1" t="str">
        <f aca="false">UPPER(D167)</f>
        <v>HEALTH</v>
      </c>
      <c r="Q167" s="1" t="n">
        <f aca="true">NETWORKDAYS(C167,TODAY())</f>
        <v>197</v>
      </c>
    </row>
    <row r="168" customFormat="false" ht="15" hidden="false" customHeight="true" outlineLevel="0" collapsed="false">
      <c r="A168" s="1" t="n">
        <v>165</v>
      </c>
      <c r="B168" s="1" t="s">
        <v>188</v>
      </c>
      <c r="C168" s="4" t="n">
        <v>45945</v>
      </c>
      <c r="D168" s="1" t="s">
        <v>19</v>
      </c>
      <c r="E168" s="8" t="n">
        <v>76</v>
      </c>
      <c r="F168" s="9" t="n">
        <v>280.19</v>
      </c>
      <c r="G168" s="9" t="n">
        <v>1984.79</v>
      </c>
      <c r="H168" s="1" t="s">
        <v>30</v>
      </c>
      <c r="I168" s="1" t="s">
        <v>317</v>
      </c>
      <c r="J168" s="8" t="n">
        <f aca="false">YEAR(C168)</f>
        <v>2025</v>
      </c>
      <c r="K168" s="1" t="str">
        <f aca="false">TEXT(C168,"mmm-yyyy")</f>
        <v>Oct-2025</v>
      </c>
      <c r="L168" s="1" t="str">
        <f aca="false">_xlfn.IFS(E168&lt;25,"Young (18-24)",E168&lt;=40,"Adult (25-40)",E168&lt;=60,"Mid-Age (41-60)",TRUE(),"Senior (60+)")</f>
        <v>Senior (60+)</v>
      </c>
      <c r="M168" s="10" t="n">
        <f aca="false">IF(F168=0,0,ROUND(G168/F168,2))</f>
        <v>7.08</v>
      </c>
      <c r="N168" s="1" t="str">
        <f aca="false">IF(AND(G168&gt;3000,H168="Approved"),"High-Value Approved",IF(OR(H168="Pending",H168="Unknown"),"Needs Review","Normal"))</f>
        <v>Normal</v>
      </c>
      <c r="O168" s="1" t="str">
        <f aca="false">LEFT(B168,3)</f>
        <v>POL</v>
      </c>
      <c r="P168" s="1" t="str">
        <f aca="false">UPPER(D168)</f>
        <v>HEALTH</v>
      </c>
      <c r="Q168" s="1" t="n">
        <f aca="true">NETWORKDAYS(C168,TODAY())</f>
        <v>225</v>
      </c>
    </row>
    <row r="169" customFormat="false" ht="15" hidden="false" customHeight="true" outlineLevel="0" collapsed="false">
      <c r="A169" s="1" t="n">
        <v>166</v>
      </c>
      <c r="B169" s="1" t="s">
        <v>189</v>
      </c>
      <c r="C169" s="4" t="n">
        <v>45861</v>
      </c>
      <c r="D169" s="1" t="s">
        <v>16</v>
      </c>
      <c r="E169" s="8" t="n">
        <v>44</v>
      </c>
      <c r="F169" s="9" t="n">
        <v>362.72</v>
      </c>
      <c r="G169" s="9" t="n">
        <v>0</v>
      </c>
      <c r="H169" s="1" t="s">
        <v>10</v>
      </c>
      <c r="I169" s="1" t="s">
        <v>318</v>
      </c>
      <c r="J169" s="8" t="n">
        <f aca="false">YEAR(C169)</f>
        <v>2025</v>
      </c>
      <c r="K169" s="1" t="str">
        <f aca="false">TEXT(C169,"mmm-yyyy")</f>
        <v>Jul-2025</v>
      </c>
      <c r="L169" s="1" t="str">
        <f aca="false">_xlfn.IFS(E169&lt;25,"Young (18-24)",E169&lt;=40,"Adult (25-40)",E169&lt;=60,"Mid-Age (41-60)",TRUE(),"Senior (60+)")</f>
        <v>Mid-Age (41-60)</v>
      </c>
      <c r="M169" s="10" t="n">
        <f aca="false">IF(F169=0,0,ROUND(G169/F169,2))</f>
        <v>0</v>
      </c>
      <c r="N169" s="1" t="str">
        <f aca="false">IF(AND(G169&gt;3000,H169="Approved"),"High-Value Approved",IF(OR(H169="Pending",H169="Unknown"),"Needs Review","Normal"))</f>
        <v>Normal</v>
      </c>
      <c r="O169" s="1" t="str">
        <f aca="false">LEFT(B169,3)</f>
        <v>POL</v>
      </c>
      <c r="P169" s="1" t="str">
        <f aca="false">UPPER(D169)</f>
        <v>PROPERTY</v>
      </c>
      <c r="Q169" s="1" t="n">
        <f aca="true">NETWORKDAYS(C169,TODAY())</f>
        <v>285</v>
      </c>
    </row>
    <row r="170" customFormat="false" ht="15" hidden="false" customHeight="true" outlineLevel="0" collapsed="false">
      <c r="A170" s="1" t="n">
        <v>167</v>
      </c>
      <c r="B170" s="1" t="s">
        <v>190</v>
      </c>
      <c r="C170" s="4" t="n">
        <v>45862</v>
      </c>
      <c r="D170" s="1" t="s">
        <v>12</v>
      </c>
      <c r="E170" s="8" t="n">
        <v>47</v>
      </c>
      <c r="F170" s="9" t="n">
        <v>257.37</v>
      </c>
      <c r="G170" s="9" t="n">
        <v>608.33</v>
      </c>
      <c r="H170" s="1" t="s">
        <v>13</v>
      </c>
      <c r="I170" s="1" t="s">
        <v>319</v>
      </c>
      <c r="J170" s="8" t="n">
        <f aca="false">YEAR(C170)</f>
        <v>2025</v>
      </c>
      <c r="K170" s="1" t="str">
        <f aca="false">TEXT(C170,"mmm-yyyy")</f>
        <v>Jul-2025</v>
      </c>
      <c r="L170" s="1" t="str">
        <f aca="false">_xlfn.IFS(E170&lt;25,"Young (18-24)",E170&lt;=40,"Adult (25-40)",E170&lt;=60,"Mid-Age (41-60)",TRUE(),"Senior (60+)")</f>
        <v>Mid-Age (41-60)</v>
      </c>
      <c r="M170" s="10" t="n">
        <f aca="false">IF(F170=0,0,ROUND(G170/F170,2))</f>
        <v>2.36</v>
      </c>
      <c r="N170" s="1" t="str">
        <f aca="false">IF(AND(G170&gt;3000,H170="Approved"),"High-Value Approved",IF(OR(H170="Pending",H170="Unknown"),"Needs Review","Normal"))</f>
        <v>Needs Review</v>
      </c>
      <c r="O170" s="1" t="str">
        <f aca="false">LEFT(B170,3)</f>
        <v>POL</v>
      </c>
      <c r="P170" s="1" t="str">
        <f aca="false">UPPER(D170)</f>
        <v>MOTOR</v>
      </c>
      <c r="Q170" s="1" t="n">
        <f aca="true">NETWORKDAYS(C170,TODAY())</f>
        <v>284</v>
      </c>
    </row>
    <row r="171" customFormat="false" ht="15" hidden="false" customHeight="true" outlineLevel="0" collapsed="false">
      <c r="A171" s="1" t="n">
        <v>168</v>
      </c>
      <c r="B171" s="1" t="s">
        <v>191</v>
      </c>
      <c r="C171" s="4" t="n">
        <v>45723</v>
      </c>
      <c r="D171" s="1" t="s">
        <v>16</v>
      </c>
      <c r="E171" s="8" t="n">
        <v>43</v>
      </c>
      <c r="F171" s="9" t="n">
        <v>505.54</v>
      </c>
      <c r="G171" s="9" t="n">
        <v>4108.95</v>
      </c>
      <c r="H171" s="1" t="s">
        <v>17</v>
      </c>
      <c r="I171" s="1" t="s">
        <v>318</v>
      </c>
      <c r="J171" s="8" t="n">
        <f aca="false">YEAR(C171)</f>
        <v>2025</v>
      </c>
      <c r="K171" s="1" t="str">
        <f aca="false">TEXT(C171,"mmm-yyyy")</f>
        <v>Mar-2025</v>
      </c>
      <c r="L171" s="1" t="str">
        <f aca="false">_xlfn.IFS(E171&lt;25,"Young (18-24)",E171&lt;=40,"Adult (25-40)",E171&lt;=60,"Mid-Age (41-60)",TRUE(),"Senior (60+)")</f>
        <v>Mid-Age (41-60)</v>
      </c>
      <c r="M171" s="10" t="n">
        <f aca="false">IF(F171=0,0,ROUND(G171/F171,2))</f>
        <v>8.13</v>
      </c>
      <c r="N171" s="1" t="str">
        <f aca="false">IF(AND(G171&gt;3000,H171="Approved"),"High-Value Approved",IF(OR(H171="Pending",H171="Unknown"),"Needs Review","Normal"))</f>
        <v>High-Value Approved</v>
      </c>
      <c r="O171" s="1" t="str">
        <f aca="false">LEFT(B171,3)</f>
        <v>POL</v>
      </c>
      <c r="P171" s="1" t="str">
        <f aca="false">UPPER(D171)</f>
        <v>PROPERTY</v>
      </c>
      <c r="Q171" s="1" t="n">
        <f aca="true">NETWORKDAYS(C171,TODAY())</f>
        <v>383</v>
      </c>
    </row>
    <row r="172" customFormat="false" ht="15" hidden="false" customHeight="true" outlineLevel="0" collapsed="false">
      <c r="A172" s="1" t="n">
        <v>169</v>
      </c>
      <c r="B172" s="1" t="s">
        <v>192</v>
      </c>
      <c r="C172" s="4" t="n">
        <v>45814</v>
      </c>
      <c r="D172" s="1" t="s">
        <v>19</v>
      </c>
      <c r="E172" s="8" t="n">
        <v>47</v>
      </c>
      <c r="F172" s="9" t="n">
        <v>290.25</v>
      </c>
      <c r="G172" s="9" t="n">
        <v>0</v>
      </c>
      <c r="H172" s="1" t="s">
        <v>10</v>
      </c>
      <c r="I172" s="1" t="s">
        <v>318</v>
      </c>
      <c r="J172" s="8" t="n">
        <f aca="false">YEAR(C172)</f>
        <v>2025</v>
      </c>
      <c r="K172" s="1" t="str">
        <f aca="false">TEXT(C172,"mmm-yyyy")</f>
        <v>Jun-2025</v>
      </c>
      <c r="L172" s="1" t="str">
        <f aca="false">_xlfn.IFS(E172&lt;25,"Young (18-24)",E172&lt;=40,"Adult (25-40)",E172&lt;=60,"Mid-Age (41-60)",TRUE(),"Senior (60+)")</f>
        <v>Mid-Age (41-60)</v>
      </c>
      <c r="M172" s="10" t="n">
        <f aca="false">IF(F172=0,0,ROUND(G172/F172,2))</f>
        <v>0</v>
      </c>
      <c r="N172" s="1" t="str">
        <f aca="false">IF(AND(G172&gt;3000,H172="Approved"),"High-Value Approved",IF(OR(H172="Pending",H172="Unknown"),"Needs Review","Normal"))</f>
        <v>Normal</v>
      </c>
      <c r="O172" s="1" t="str">
        <f aca="false">LEFT(B172,3)</f>
        <v>POL</v>
      </c>
      <c r="P172" s="1" t="str">
        <f aca="false">UPPER(D172)</f>
        <v>HEALTH</v>
      </c>
      <c r="Q172" s="1" t="n">
        <f aca="true">NETWORKDAYS(C172,TODAY())</f>
        <v>318</v>
      </c>
    </row>
    <row r="173" customFormat="false" ht="15" hidden="false" customHeight="true" outlineLevel="0" collapsed="false">
      <c r="A173" s="1" t="n">
        <v>170</v>
      </c>
      <c r="B173" s="1" t="s">
        <v>193</v>
      </c>
      <c r="C173" s="4" t="n">
        <v>46178</v>
      </c>
      <c r="D173" s="1" t="s">
        <v>9</v>
      </c>
      <c r="E173" s="8" t="n">
        <v>45</v>
      </c>
      <c r="F173" s="9" t="n">
        <v>516.1</v>
      </c>
      <c r="G173" s="9" t="n">
        <v>3377.55</v>
      </c>
      <c r="H173" s="1" t="s">
        <v>17</v>
      </c>
      <c r="I173" s="1" t="s">
        <v>319</v>
      </c>
      <c r="J173" s="8" t="n">
        <f aca="false">YEAR(C173)</f>
        <v>2026</v>
      </c>
      <c r="K173" s="1" t="str">
        <f aca="false">TEXT(C173,"mmm-yyyy")</f>
        <v>Jun-2026</v>
      </c>
      <c r="L173" s="1" t="str">
        <f aca="false">_xlfn.IFS(E173&lt;25,"Young (18-24)",E173&lt;=40,"Adult (25-40)",E173&lt;=60,"Mid-Age (41-60)",TRUE(),"Senior (60+)")</f>
        <v>Mid-Age (41-60)</v>
      </c>
      <c r="M173" s="10" t="n">
        <f aca="false">IF(F173=0,0,ROUND(G173/F173,2))</f>
        <v>6.54</v>
      </c>
      <c r="N173" s="1" t="str">
        <f aca="false">IF(AND(G173&gt;3000,H173="Approved"),"High-Value Approved",IF(OR(H173="Pending",H173="Unknown"),"Needs Review","Normal"))</f>
        <v>High-Value Approved</v>
      </c>
      <c r="O173" s="1" t="str">
        <f aca="false">LEFT(B173,3)</f>
        <v>POL</v>
      </c>
      <c r="P173" s="1" t="str">
        <f aca="false">UPPER(D173)</f>
        <v>LIFE</v>
      </c>
      <c r="Q173" s="1" t="n">
        <f aca="true">NETWORKDAYS(C173,TODAY())</f>
        <v>58</v>
      </c>
    </row>
    <row r="174" customFormat="false" ht="15" hidden="false" customHeight="true" outlineLevel="0" collapsed="false">
      <c r="A174" s="1" t="n">
        <v>171</v>
      </c>
      <c r="B174" s="1" t="s">
        <v>194</v>
      </c>
      <c r="C174" s="4" t="n">
        <v>46048</v>
      </c>
      <c r="D174" s="1" t="s">
        <v>9</v>
      </c>
      <c r="E174" s="8" t="n">
        <v>66</v>
      </c>
      <c r="F174" s="9" t="n">
        <v>477.41</v>
      </c>
      <c r="G174" s="9" t="n">
        <v>0</v>
      </c>
      <c r="H174" s="1" t="s">
        <v>10</v>
      </c>
      <c r="I174" s="1" t="s">
        <v>318</v>
      </c>
      <c r="J174" s="8" t="n">
        <f aca="false">YEAR(C174)</f>
        <v>2026</v>
      </c>
      <c r="K174" s="1" t="str">
        <f aca="false">TEXT(C174,"mmm-yyyy")</f>
        <v>Jan-2026</v>
      </c>
      <c r="L174" s="1" t="str">
        <f aca="false">_xlfn.IFS(E174&lt;25,"Young (18-24)",E174&lt;=40,"Adult (25-40)",E174&lt;=60,"Mid-Age (41-60)",TRUE(),"Senior (60+)")</f>
        <v>Senior (60+)</v>
      </c>
      <c r="M174" s="10" t="n">
        <f aca="false">IF(F174=0,0,ROUND(G174/F174,2))</f>
        <v>0</v>
      </c>
      <c r="N174" s="1" t="str">
        <f aca="false">IF(AND(G174&gt;3000,H174="Approved"),"High-Value Approved",IF(OR(H174="Pending",H174="Unknown"),"Needs Review","Normal"))</f>
        <v>Normal</v>
      </c>
      <c r="O174" s="1" t="str">
        <f aca="false">LEFT(B174,3)</f>
        <v>POL</v>
      </c>
      <c r="P174" s="1" t="str">
        <f aca="false">UPPER(D174)</f>
        <v>LIFE</v>
      </c>
      <c r="Q174" s="1" t="n">
        <f aca="true">NETWORKDAYS(C174,TODAY())</f>
        <v>152</v>
      </c>
    </row>
    <row r="175" customFormat="false" ht="15" hidden="false" customHeight="true" outlineLevel="0" collapsed="false">
      <c r="A175" s="1" t="n">
        <v>172</v>
      </c>
      <c r="B175" s="1" t="s">
        <v>195</v>
      </c>
      <c r="C175" s="4" t="n">
        <v>46113</v>
      </c>
      <c r="D175" s="1" t="s">
        <v>12</v>
      </c>
      <c r="E175" s="8" t="n">
        <v>57</v>
      </c>
      <c r="F175" s="9" t="n">
        <v>359.69</v>
      </c>
      <c r="G175" s="9" t="n">
        <v>287.33</v>
      </c>
      <c r="H175" s="1" t="s">
        <v>17</v>
      </c>
      <c r="I175" s="1" t="s">
        <v>318</v>
      </c>
      <c r="J175" s="8" t="n">
        <f aca="false">YEAR(C175)</f>
        <v>2026</v>
      </c>
      <c r="K175" s="1" t="str">
        <f aca="false">TEXT(C175,"mmm-yyyy")</f>
        <v>Apr-2026</v>
      </c>
      <c r="L175" s="1" t="str">
        <f aca="false">_xlfn.IFS(E175&lt;25,"Young (18-24)",E175&lt;=40,"Adult (25-40)",E175&lt;=60,"Mid-Age (41-60)",TRUE(),"Senior (60+)")</f>
        <v>Mid-Age (41-60)</v>
      </c>
      <c r="M175" s="10" t="n">
        <f aca="false">IF(F175=0,0,ROUND(G175/F175,2))</f>
        <v>0.8</v>
      </c>
      <c r="N175" s="1" t="str">
        <f aca="false">IF(AND(G175&gt;3000,H175="Approved"),"High-Value Approved",IF(OR(H175="Pending",H175="Unknown"),"Needs Review","Normal"))</f>
        <v>Normal</v>
      </c>
      <c r="O175" s="1" t="str">
        <f aca="false">LEFT(B175,3)</f>
        <v>POL</v>
      </c>
      <c r="P175" s="1" t="str">
        <f aca="false">UPPER(D175)</f>
        <v>MOTOR</v>
      </c>
      <c r="Q175" s="1" t="n">
        <f aca="true">NETWORKDAYS(C175,TODAY())</f>
        <v>105</v>
      </c>
    </row>
    <row r="176" customFormat="false" ht="15" hidden="false" customHeight="true" outlineLevel="0" collapsed="false">
      <c r="A176" s="1" t="n">
        <v>173</v>
      </c>
      <c r="B176" s="1" t="s">
        <v>196</v>
      </c>
      <c r="C176" s="4" t="n">
        <v>45662</v>
      </c>
      <c r="D176" s="1" t="s">
        <v>9</v>
      </c>
      <c r="E176" s="8" t="n">
        <v>18</v>
      </c>
      <c r="F176" s="9" t="n">
        <v>449.77</v>
      </c>
      <c r="G176" s="9" t="n">
        <v>0</v>
      </c>
      <c r="H176" s="1" t="s">
        <v>10</v>
      </c>
      <c r="I176" s="1" t="s">
        <v>318</v>
      </c>
      <c r="J176" s="8" t="n">
        <f aca="false">YEAR(C176)</f>
        <v>2025</v>
      </c>
      <c r="K176" s="1" t="str">
        <f aca="false">TEXT(C176,"mmm-yyyy")</f>
        <v>Jan-2025</v>
      </c>
      <c r="L176" s="1" t="str">
        <f aca="false">_xlfn.IFS(E176&lt;25,"Young (18-24)",E176&lt;=40,"Adult (25-40)",E176&lt;=60,"Mid-Age (41-60)",TRUE(),"Senior (60+)")</f>
        <v>Young (18-24)</v>
      </c>
      <c r="M176" s="10" t="n">
        <f aca="false">IF(F176=0,0,ROUND(G176/F176,2))</f>
        <v>0</v>
      </c>
      <c r="N176" s="1" t="str">
        <f aca="false">IF(AND(G176&gt;3000,H176="Approved"),"High-Value Approved",IF(OR(H176="Pending",H176="Unknown"),"Needs Review","Normal"))</f>
        <v>Normal</v>
      </c>
      <c r="O176" s="1" t="str">
        <f aca="false">LEFT(B176,3)</f>
        <v>POL</v>
      </c>
      <c r="P176" s="1" t="str">
        <f aca="false">UPPER(D176)</f>
        <v>LIFE</v>
      </c>
      <c r="Q176" s="1" t="n">
        <f aca="true">NETWORKDAYS(C176,TODAY())</f>
        <v>427</v>
      </c>
    </row>
    <row r="177" customFormat="false" ht="15" hidden="false" customHeight="true" outlineLevel="0" collapsed="false">
      <c r="A177" s="1" t="n">
        <v>174</v>
      </c>
      <c r="B177" s="1" t="s">
        <v>197</v>
      </c>
      <c r="C177" s="4" t="n">
        <v>45964</v>
      </c>
      <c r="D177" s="1" t="s">
        <v>19</v>
      </c>
      <c r="E177" s="8" t="n">
        <v>18</v>
      </c>
      <c r="F177" s="9" t="n">
        <v>389.95</v>
      </c>
      <c r="G177" s="9" t="n">
        <v>1630.84</v>
      </c>
      <c r="H177" s="1" t="s">
        <v>17</v>
      </c>
      <c r="I177" s="1" t="s">
        <v>318</v>
      </c>
      <c r="J177" s="8" t="n">
        <f aca="false">YEAR(C177)</f>
        <v>2025</v>
      </c>
      <c r="K177" s="1" t="str">
        <f aca="false">TEXT(C177,"mmm-yyyy")</f>
        <v>Nov-2025</v>
      </c>
      <c r="L177" s="1" t="str">
        <f aca="false">_xlfn.IFS(E177&lt;25,"Young (18-24)",E177&lt;=40,"Adult (25-40)",E177&lt;=60,"Mid-Age (41-60)",TRUE(),"Senior (60+)")</f>
        <v>Young (18-24)</v>
      </c>
      <c r="M177" s="10" t="n">
        <f aca="false">IF(F177=0,0,ROUND(G177/F177,2))</f>
        <v>4.18</v>
      </c>
      <c r="N177" s="1" t="str">
        <f aca="false">IF(AND(G177&gt;3000,H177="Approved"),"High-Value Approved",IF(OR(H177="Pending",H177="Unknown"),"Needs Review","Normal"))</f>
        <v>Normal</v>
      </c>
      <c r="O177" s="1" t="str">
        <f aca="false">LEFT(B177,3)</f>
        <v>POL</v>
      </c>
      <c r="P177" s="1" t="str">
        <f aca="false">UPPER(D177)</f>
        <v>HEALTH</v>
      </c>
      <c r="Q177" s="1" t="n">
        <f aca="true">NETWORKDAYS(C177,TODAY())</f>
        <v>212</v>
      </c>
    </row>
    <row r="178" customFormat="false" ht="15" hidden="false" customHeight="true" outlineLevel="0" collapsed="false">
      <c r="A178" s="1" t="n">
        <v>175</v>
      </c>
      <c r="B178" s="1" t="s">
        <v>198</v>
      </c>
      <c r="C178" s="4" t="n">
        <v>45785</v>
      </c>
      <c r="D178" s="1" t="s">
        <v>19</v>
      </c>
      <c r="E178" s="8" t="n">
        <v>22</v>
      </c>
      <c r="F178" s="9" t="n">
        <v>341.88</v>
      </c>
      <c r="G178" s="9" t="n">
        <v>0</v>
      </c>
      <c r="H178" s="1" t="s">
        <v>10</v>
      </c>
      <c r="I178" s="1" t="s">
        <v>320</v>
      </c>
      <c r="J178" s="8" t="n">
        <f aca="false">YEAR(C178)</f>
        <v>2025</v>
      </c>
      <c r="K178" s="1" t="str">
        <f aca="false">TEXT(C178,"mmm-yyyy")</f>
        <v>May-2025</v>
      </c>
      <c r="L178" s="1" t="str">
        <f aca="false">_xlfn.IFS(E178&lt;25,"Young (18-24)",E178&lt;=40,"Adult (25-40)",E178&lt;=60,"Mid-Age (41-60)",TRUE(),"Senior (60+)")</f>
        <v>Young (18-24)</v>
      </c>
      <c r="M178" s="10" t="n">
        <f aca="false">IF(F178=0,0,ROUND(G178/F178,2))</f>
        <v>0</v>
      </c>
      <c r="N178" s="1" t="str">
        <f aca="false">IF(AND(G178&gt;3000,H178="Approved"),"High-Value Approved",IF(OR(H178="Pending",H178="Unknown"),"Needs Review","Normal"))</f>
        <v>Normal</v>
      </c>
      <c r="O178" s="1" t="str">
        <f aca="false">LEFT(B178,3)</f>
        <v>POL</v>
      </c>
      <c r="P178" s="1" t="str">
        <f aca="false">UPPER(D178)</f>
        <v>HEALTH</v>
      </c>
      <c r="Q178" s="1" t="n">
        <f aca="true">NETWORKDAYS(C178,TODAY())</f>
        <v>339</v>
      </c>
    </row>
    <row r="179" customFormat="false" ht="15" hidden="false" customHeight="true" outlineLevel="0" collapsed="false">
      <c r="A179" s="1" t="n">
        <v>176</v>
      </c>
      <c r="B179" s="1" t="s">
        <v>199</v>
      </c>
      <c r="C179" s="4" t="n">
        <v>46099</v>
      </c>
      <c r="D179" s="1" t="s">
        <v>19</v>
      </c>
      <c r="E179" s="8" t="n">
        <v>56</v>
      </c>
      <c r="F179" s="9" t="n">
        <v>482.25</v>
      </c>
      <c r="G179" s="9" t="n">
        <v>1504.8</v>
      </c>
      <c r="H179" s="1" t="s">
        <v>13</v>
      </c>
      <c r="I179" s="1" t="s">
        <v>322</v>
      </c>
      <c r="J179" s="8" t="n">
        <f aca="false">YEAR(C179)</f>
        <v>2026</v>
      </c>
      <c r="K179" s="1" t="str">
        <f aca="false">TEXT(C179,"mmm-yyyy")</f>
        <v>Mar-2026</v>
      </c>
      <c r="L179" s="1" t="str">
        <f aca="false">_xlfn.IFS(E179&lt;25,"Young (18-24)",E179&lt;=40,"Adult (25-40)",E179&lt;=60,"Mid-Age (41-60)",TRUE(),"Senior (60+)")</f>
        <v>Mid-Age (41-60)</v>
      </c>
      <c r="M179" s="10" t="n">
        <f aca="false">IF(F179=0,0,ROUND(G179/F179,2))</f>
        <v>3.12</v>
      </c>
      <c r="N179" s="1" t="str">
        <f aca="false">IF(AND(G179&gt;3000,H179="Approved"),"High-Value Approved",IF(OR(H179="Pending",H179="Unknown"),"Needs Review","Normal"))</f>
        <v>Needs Review</v>
      </c>
      <c r="O179" s="1" t="str">
        <f aca="false">LEFT(B179,3)</f>
        <v>POL</v>
      </c>
      <c r="P179" s="1" t="str">
        <f aca="false">UPPER(D179)</f>
        <v>HEALTH</v>
      </c>
      <c r="Q179" s="1" t="n">
        <f aca="true">NETWORKDAYS(C179,TODAY())</f>
        <v>115</v>
      </c>
    </row>
    <row r="180" customFormat="false" ht="15" hidden="false" customHeight="true" outlineLevel="0" collapsed="false">
      <c r="A180" s="1" t="n">
        <v>177</v>
      </c>
      <c r="B180" s="1" t="s">
        <v>200</v>
      </c>
      <c r="C180" s="4" t="n">
        <v>45806</v>
      </c>
      <c r="D180" s="1" t="s">
        <v>19</v>
      </c>
      <c r="E180" s="8" t="n">
        <v>59</v>
      </c>
      <c r="F180" s="9" t="n">
        <v>250.19</v>
      </c>
      <c r="G180" s="9" t="n">
        <v>0</v>
      </c>
      <c r="H180" s="1" t="s">
        <v>10</v>
      </c>
      <c r="I180" s="1" t="s">
        <v>322</v>
      </c>
      <c r="J180" s="8" t="n">
        <f aca="false">YEAR(C180)</f>
        <v>2025</v>
      </c>
      <c r="K180" s="1" t="str">
        <f aca="false">TEXT(C180,"mmm-yyyy")</f>
        <v>May-2025</v>
      </c>
      <c r="L180" s="1" t="str">
        <f aca="false">_xlfn.IFS(E180&lt;25,"Young (18-24)",E180&lt;=40,"Adult (25-40)",E180&lt;=60,"Mid-Age (41-60)",TRUE(),"Senior (60+)")</f>
        <v>Mid-Age (41-60)</v>
      </c>
      <c r="M180" s="10" t="n">
        <f aca="false">IF(F180=0,0,ROUND(G180/F180,2))</f>
        <v>0</v>
      </c>
      <c r="N180" s="1" t="str">
        <f aca="false">IF(AND(G180&gt;3000,H180="Approved"),"High-Value Approved",IF(OR(H180="Pending",H180="Unknown"),"Needs Review","Normal"))</f>
        <v>Normal</v>
      </c>
      <c r="O180" s="1" t="str">
        <f aca="false">LEFT(B180,3)</f>
        <v>POL</v>
      </c>
      <c r="P180" s="1" t="str">
        <f aca="false">UPPER(D180)</f>
        <v>HEALTH</v>
      </c>
      <c r="Q180" s="1" t="n">
        <f aca="true">NETWORKDAYS(C180,TODAY())</f>
        <v>324</v>
      </c>
    </row>
    <row r="181" customFormat="false" ht="15" hidden="false" customHeight="true" outlineLevel="0" collapsed="false">
      <c r="A181" s="1" t="n">
        <v>178</v>
      </c>
      <c r="B181" s="1" t="s">
        <v>201</v>
      </c>
      <c r="C181" s="4" t="n">
        <v>46184</v>
      </c>
      <c r="D181" s="1" t="s">
        <v>12</v>
      </c>
      <c r="E181" s="8" t="n">
        <v>58</v>
      </c>
      <c r="F181" s="9" t="n">
        <v>362.9</v>
      </c>
      <c r="G181" s="9" t="n">
        <v>1646.56</v>
      </c>
      <c r="H181" s="1" t="s">
        <v>30</v>
      </c>
      <c r="I181" s="1" t="s">
        <v>317</v>
      </c>
      <c r="J181" s="8" t="n">
        <f aca="false">YEAR(C181)</f>
        <v>2026</v>
      </c>
      <c r="K181" s="1" t="str">
        <f aca="false">TEXT(C181,"mmm-yyyy")</f>
        <v>Jun-2026</v>
      </c>
      <c r="L181" s="1" t="str">
        <f aca="false">_xlfn.IFS(E181&lt;25,"Young (18-24)",E181&lt;=40,"Adult (25-40)",E181&lt;=60,"Mid-Age (41-60)",TRUE(),"Senior (60+)")</f>
        <v>Mid-Age (41-60)</v>
      </c>
      <c r="M181" s="10" t="n">
        <f aca="false">IF(F181=0,0,ROUND(G181/F181,2))</f>
        <v>4.54</v>
      </c>
      <c r="N181" s="1" t="str">
        <f aca="false">IF(AND(G181&gt;3000,H181="Approved"),"High-Value Approved",IF(OR(H181="Pending",H181="Unknown"),"Needs Review","Normal"))</f>
        <v>Normal</v>
      </c>
      <c r="O181" s="1" t="str">
        <f aca="false">LEFT(B181,3)</f>
        <v>POL</v>
      </c>
      <c r="P181" s="1" t="str">
        <f aca="false">UPPER(D181)</f>
        <v>MOTOR</v>
      </c>
      <c r="Q181" s="1" t="n">
        <f aca="true">NETWORKDAYS(C181,TODAY())</f>
        <v>54</v>
      </c>
    </row>
    <row r="182" customFormat="false" ht="15" hidden="false" customHeight="true" outlineLevel="0" collapsed="false">
      <c r="A182" s="1" t="n">
        <v>179</v>
      </c>
      <c r="B182" s="1" t="s">
        <v>202</v>
      </c>
      <c r="C182" s="4" t="n">
        <v>46145</v>
      </c>
      <c r="D182" s="1" t="s">
        <v>19</v>
      </c>
      <c r="E182" s="8" t="n">
        <v>44</v>
      </c>
      <c r="F182" s="9" t="n">
        <v>335.29</v>
      </c>
      <c r="G182" s="9" t="n">
        <v>0</v>
      </c>
      <c r="H182" s="1" t="s">
        <v>10</v>
      </c>
      <c r="I182" s="1" t="s">
        <v>318</v>
      </c>
      <c r="J182" s="8" t="n">
        <f aca="false">YEAR(C182)</f>
        <v>2026</v>
      </c>
      <c r="K182" s="1" t="str">
        <f aca="false">TEXT(C182,"mmm-yyyy")</f>
        <v>May-2026</v>
      </c>
      <c r="L182" s="1" t="str">
        <f aca="false">_xlfn.IFS(E182&lt;25,"Young (18-24)",E182&lt;=40,"Adult (25-40)",E182&lt;=60,"Mid-Age (41-60)",TRUE(),"Senior (60+)")</f>
        <v>Mid-Age (41-60)</v>
      </c>
      <c r="M182" s="10" t="n">
        <f aca="false">IF(F182=0,0,ROUND(G182/F182,2))</f>
        <v>0</v>
      </c>
      <c r="N182" s="1" t="str">
        <f aca="false">IF(AND(G182&gt;3000,H182="Approved"),"High-Value Approved",IF(OR(H182="Pending",H182="Unknown"),"Needs Review","Normal"))</f>
        <v>Normal</v>
      </c>
      <c r="O182" s="1" t="str">
        <f aca="false">LEFT(B182,3)</f>
        <v>POL</v>
      </c>
      <c r="P182" s="1" t="str">
        <f aca="false">UPPER(D182)</f>
        <v>HEALTH</v>
      </c>
      <c r="Q182" s="1" t="n">
        <f aca="true">NETWORKDAYS(C182,TODAY())</f>
        <v>82</v>
      </c>
    </row>
    <row r="183" customFormat="false" ht="15" hidden="false" customHeight="true" outlineLevel="0" collapsed="false">
      <c r="A183" s="1" t="n">
        <v>180</v>
      </c>
      <c r="B183" s="1" t="s">
        <v>203</v>
      </c>
      <c r="C183" s="4" t="n">
        <v>45688</v>
      </c>
      <c r="D183" s="1" t="s">
        <v>40</v>
      </c>
      <c r="E183" s="8" t="n">
        <v>30</v>
      </c>
      <c r="F183" s="9" t="n">
        <v>101.66</v>
      </c>
      <c r="G183" s="9" t="n">
        <v>0</v>
      </c>
      <c r="H183" s="1" t="s">
        <v>10</v>
      </c>
      <c r="I183" s="1" t="s">
        <v>318</v>
      </c>
      <c r="J183" s="8" t="n">
        <f aca="false">YEAR(C183)</f>
        <v>2025</v>
      </c>
      <c r="K183" s="1" t="str">
        <f aca="false">TEXT(C183,"mmm-yyyy")</f>
        <v>Jan-2025</v>
      </c>
      <c r="L183" s="1" t="str">
        <f aca="false">_xlfn.IFS(E183&lt;25,"Young (18-24)",E183&lt;=40,"Adult (25-40)",E183&lt;=60,"Mid-Age (41-60)",TRUE(),"Senior (60+)")</f>
        <v>Adult (25-40)</v>
      </c>
      <c r="M183" s="10" t="n">
        <f aca="false">IF(F183=0,0,ROUND(G183/F183,2))</f>
        <v>0</v>
      </c>
      <c r="N183" s="1" t="str">
        <f aca="false">IF(AND(G183&gt;3000,H183="Approved"),"High-Value Approved",IF(OR(H183="Pending",H183="Unknown"),"Needs Review","Normal"))</f>
        <v>Normal</v>
      </c>
      <c r="O183" s="1" t="str">
        <f aca="false">LEFT(B183,3)</f>
        <v>POL</v>
      </c>
      <c r="P183" s="1" t="str">
        <f aca="false">UPPER(D183)</f>
        <v>TRAVEL</v>
      </c>
      <c r="Q183" s="1" t="n">
        <f aca="true">NETWORKDAYS(C183,TODAY())</f>
        <v>408</v>
      </c>
    </row>
    <row r="184" customFormat="false" ht="15" hidden="false" customHeight="true" outlineLevel="0" collapsed="false">
      <c r="A184" s="1" t="n">
        <v>181</v>
      </c>
      <c r="B184" s="1" t="s">
        <v>204</v>
      </c>
      <c r="C184" s="4" t="n">
        <v>46081</v>
      </c>
      <c r="D184" s="1" t="s">
        <v>12</v>
      </c>
      <c r="E184" s="8" t="n">
        <v>79</v>
      </c>
      <c r="F184" s="9" t="n">
        <v>324.16</v>
      </c>
      <c r="G184" s="9" t="n">
        <v>597.52</v>
      </c>
      <c r="H184" s="1" t="s">
        <v>13</v>
      </c>
      <c r="I184" s="1" t="s">
        <v>318</v>
      </c>
      <c r="J184" s="8" t="n">
        <f aca="false">YEAR(C184)</f>
        <v>2026</v>
      </c>
      <c r="K184" s="1" t="str">
        <f aca="false">TEXT(C184,"mmm-yyyy")</f>
        <v>Feb-2026</v>
      </c>
      <c r="L184" s="1" t="str">
        <f aca="false">_xlfn.IFS(E184&lt;25,"Young (18-24)",E184&lt;=40,"Adult (25-40)",E184&lt;=60,"Mid-Age (41-60)",TRUE(),"Senior (60+)")</f>
        <v>Senior (60+)</v>
      </c>
      <c r="M184" s="10" t="n">
        <f aca="false">IF(F184=0,0,ROUND(G184/F184,2))</f>
        <v>1.84</v>
      </c>
      <c r="N184" s="1" t="str">
        <f aca="false">IF(AND(G184&gt;3000,H184="Approved"),"High-Value Approved",IF(OR(H184="Pending",H184="Unknown"),"Needs Review","Normal"))</f>
        <v>Needs Review</v>
      </c>
      <c r="O184" s="1" t="str">
        <f aca="false">LEFT(B184,3)</f>
        <v>POL</v>
      </c>
      <c r="P184" s="1" t="str">
        <f aca="false">UPPER(D184)</f>
        <v>MOTOR</v>
      </c>
      <c r="Q184" s="1" t="n">
        <f aca="true">NETWORKDAYS(C184,TODAY())</f>
        <v>127</v>
      </c>
    </row>
    <row r="185" customFormat="false" ht="15" hidden="false" customHeight="true" outlineLevel="0" collapsed="false">
      <c r="A185" s="1" t="n">
        <v>182</v>
      </c>
      <c r="B185" s="1" t="s">
        <v>205</v>
      </c>
      <c r="C185" s="4" t="n">
        <v>46120</v>
      </c>
      <c r="D185" s="1" t="s">
        <v>19</v>
      </c>
      <c r="E185" s="8" t="n">
        <v>45</v>
      </c>
      <c r="F185" s="9" t="n">
        <v>271.59</v>
      </c>
      <c r="G185" s="9" t="n">
        <v>2832.74</v>
      </c>
      <c r="H185" s="1" t="s">
        <v>13</v>
      </c>
      <c r="I185" s="1" t="s">
        <v>318</v>
      </c>
      <c r="J185" s="8" t="n">
        <f aca="false">YEAR(C185)</f>
        <v>2026</v>
      </c>
      <c r="K185" s="1" t="str">
        <f aca="false">TEXT(C185,"mmm-yyyy")</f>
        <v>Apr-2026</v>
      </c>
      <c r="L185" s="1" t="str">
        <f aca="false">_xlfn.IFS(E185&lt;25,"Young (18-24)",E185&lt;=40,"Adult (25-40)",E185&lt;=60,"Mid-Age (41-60)",TRUE(),"Senior (60+)")</f>
        <v>Mid-Age (41-60)</v>
      </c>
      <c r="M185" s="10" t="n">
        <f aca="false">IF(F185=0,0,ROUND(G185/F185,2))</f>
        <v>10.43</v>
      </c>
      <c r="N185" s="1" t="str">
        <f aca="false">IF(AND(G185&gt;3000,H185="Approved"),"High-Value Approved",IF(OR(H185="Pending",H185="Unknown"),"Needs Review","Normal"))</f>
        <v>Needs Review</v>
      </c>
      <c r="O185" s="1" t="str">
        <f aca="false">LEFT(B185,3)</f>
        <v>POL</v>
      </c>
      <c r="P185" s="1" t="str">
        <f aca="false">UPPER(D185)</f>
        <v>HEALTH</v>
      </c>
      <c r="Q185" s="1" t="n">
        <f aca="true">NETWORKDAYS(C185,TODAY())</f>
        <v>100</v>
      </c>
    </row>
    <row r="186" customFormat="false" ht="15" hidden="false" customHeight="true" outlineLevel="0" collapsed="false">
      <c r="A186" s="1" t="n">
        <v>183</v>
      </c>
      <c r="B186" s="1" t="s">
        <v>206</v>
      </c>
      <c r="C186" s="4" t="n">
        <v>45853</v>
      </c>
      <c r="D186" s="1" t="s">
        <v>12</v>
      </c>
      <c r="E186" s="8" t="n">
        <v>26</v>
      </c>
      <c r="F186" s="9" t="n">
        <v>344</v>
      </c>
      <c r="G186" s="9" t="n">
        <v>1210.99</v>
      </c>
      <c r="H186" s="1" t="s">
        <v>13</v>
      </c>
      <c r="I186" s="1" t="s">
        <v>318</v>
      </c>
      <c r="J186" s="8" t="n">
        <f aca="false">YEAR(C186)</f>
        <v>2025</v>
      </c>
      <c r="K186" s="1" t="str">
        <f aca="false">TEXT(C186,"mmm-yyyy")</f>
        <v>Jul-2025</v>
      </c>
      <c r="L186" s="1" t="str">
        <f aca="false">_xlfn.IFS(E186&lt;25,"Young (18-24)",E186&lt;=40,"Adult (25-40)",E186&lt;=60,"Mid-Age (41-60)",TRUE(),"Senior (60+)")</f>
        <v>Adult (25-40)</v>
      </c>
      <c r="M186" s="10" t="n">
        <f aca="false">IF(F186=0,0,ROUND(G186/F186,2))</f>
        <v>3.52</v>
      </c>
      <c r="N186" s="1" t="str">
        <f aca="false">IF(AND(G186&gt;3000,H186="Approved"),"High-Value Approved",IF(OR(H186="Pending",H186="Unknown"),"Needs Review","Normal"))</f>
        <v>Needs Review</v>
      </c>
      <c r="O186" s="1" t="str">
        <f aca="false">LEFT(B186,3)</f>
        <v>POL</v>
      </c>
      <c r="P186" s="1" t="str">
        <f aca="false">UPPER(D186)</f>
        <v>MOTOR</v>
      </c>
      <c r="Q186" s="1" t="n">
        <f aca="true">NETWORKDAYS(C186,TODAY())</f>
        <v>291</v>
      </c>
    </row>
    <row r="187" customFormat="false" ht="15" hidden="false" customHeight="true" outlineLevel="0" collapsed="false">
      <c r="A187" s="1" t="n">
        <v>184</v>
      </c>
      <c r="B187" s="1" t="s">
        <v>207</v>
      </c>
      <c r="C187" s="4" t="n">
        <v>46052</v>
      </c>
      <c r="D187" s="1" t="s">
        <v>16</v>
      </c>
      <c r="E187" s="8" t="n">
        <v>75</v>
      </c>
      <c r="F187" s="9" t="n">
        <v>371.54</v>
      </c>
      <c r="G187" s="9" t="n">
        <v>0</v>
      </c>
      <c r="H187" s="1" t="s">
        <v>10</v>
      </c>
      <c r="I187" s="1" t="s">
        <v>318</v>
      </c>
      <c r="J187" s="8" t="n">
        <f aca="false">YEAR(C187)</f>
        <v>2026</v>
      </c>
      <c r="K187" s="1" t="str">
        <f aca="false">TEXT(C187,"mmm-yyyy")</f>
        <v>Jan-2026</v>
      </c>
      <c r="L187" s="1" t="str">
        <f aca="false">_xlfn.IFS(E187&lt;25,"Young (18-24)",E187&lt;=40,"Adult (25-40)",E187&lt;=60,"Mid-Age (41-60)",TRUE(),"Senior (60+)")</f>
        <v>Senior (60+)</v>
      </c>
      <c r="M187" s="10" t="n">
        <f aca="false">IF(F187=0,0,ROUND(G187/F187,2))</f>
        <v>0</v>
      </c>
      <c r="N187" s="1" t="str">
        <f aca="false">IF(AND(G187&gt;3000,H187="Approved"),"High-Value Approved",IF(OR(H187="Pending",H187="Unknown"),"Needs Review","Normal"))</f>
        <v>Normal</v>
      </c>
      <c r="O187" s="1" t="str">
        <f aca="false">LEFT(B187,3)</f>
        <v>POL</v>
      </c>
      <c r="P187" s="1" t="str">
        <f aca="false">UPPER(D187)</f>
        <v>PROPERTY</v>
      </c>
      <c r="Q187" s="1" t="n">
        <f aca="true">NETWORKDAYS(C187,TODAY())</f>
        <v>148</v>
      </c>
    </row>
    <row r="188" customFormat="false" ht="15" hidden="false" customHeight="true" outlineLevel="0" collapsed="false">
      <c r="A188" s="1" t="n">
        <v>185</v>
      </c>
      <c r="B188" s="1" t="s">
        <v>208</v>
      </c>
      <c r="C188" s="4" t="n">
        <v>46092</v>
      </c>
      <c r="D188" s="1" t="s">
        <v>12</v>
      </c>
      <c r="E188" s="8" t="n">
        <v>61</v>
      </c>
      <c r="F188" s="9" t="n">
        <v>259.18</v>
      </c>
      <c r="G188" s="9" t="n">
        <v>2327.53</v>
      </c>
      <c r="H188" s="1" t="s">
        <v>17</v>
      </c>
      <c r="I188" s="1" t="s">
        <v>318</v>
      </c>
      <c r="J188" s="8" t="n">
        <f aca="false">YEAR(C188)</f>
        <v>2026</v>
      </c>
      <c r="K188" s="1" t="str">
        <f aca="false">TEXT(C188,"mmm-yyyy")</f>
        <v>Mar-2026</v>
      </c>
      <c r="L188" s="1" t="str">
        <f aca="false">_xlfn.IFS(E188&lt;25,"Young (18-24)",E188&lt;=40,"Adult (25-40)",E188&lt;=60,"Mid-Age (41-60)",TRUE(),"Senior (60+)")</f>
        <v>Senior (60+)</v>
      </c>
      <c r="M188" s="10" t="n">
        <f aca="false">IF(F188=0,0,ROUND(G188/F188,2))</f>
        <v>8.98</v>
      </c>
      <c r="N188" s="1" t="str">
        <f aca="false">IF(AND(G188&gt;3000,H188="Approved"),"High-Value Approved",IF(OR(H188="Pending",H188="Unknown"),"Needs Review","Normal"))</f>
        <v>Normal</v>
      </c>
      <c r="O188" s="1" t="str">
        <f aca="false">LEFT(B188,3)</f>
        <v>POL</v>
      </c>
      <c r="P188" s="1" t="str">
        <f aca="false">UPPER(D188)</f>
        <v>MOTOR</v>
      </c>
      <c r="Q188" s="1" t="n">
        <f aca="true">NETWORKDAYS(C188,TODAY())</f>
        <v>120</v>
      </c>
    </row>
    <row r="189" customFormat="false" ht="15" hidden="false" customHeight="true" outlineLevel="0" collapsed="false">
      <c r="A189" s="1" t="n">
        <v>186</v>
      </c>
      <c r="B189" s="1" t="s">
        <v>209</v>
      </c>
      <c r="C189" s="4" t="n">
        <v>45912</v>
      </c>
      <c r="D189" s="1" t="s">
        <v>12</v>
      </c>
      <c r="E189" s="8" t="n">
        <v>72</v>
      </c>
      <c r="F189" s="9" t="n">
        <v>292.55</v>
      </c>
      <c r="G189" s="9" t="n">
        <v>0</v>
      </c>
      <c r="H189" s="1" t="s">
        <v>10</v>
      </c>
      <c r="I189" s="1" t="s">
        <v>320</v>
      </c>
      <c r="J189" s="8" t="n">
        <f aca="false">YEAR(C189)</f>
        <v>2025</v>
      </c>
      <c r="K189" s="1" t="str">
        <f aca="false">TEXT(C189,"mmm-yyyy")</f>
        <v>Sep-2025</v>
      </c>
      <c r="L189" s="1" t="str">
        <f aca="false">_xlfn.IFS(E189&lt;25,"Young (18-24)",E189&lt;=40,"Adult (25-40)",E189&lt;=60,"Mid-Age (41-60)",TRUE(),"Senior (60+)")</f>
        <v>Senior (60+)</v>
      </c>
      <c r="M189" s="10" t="n">
        <f aca="false">IF(F189=0,0,ROUND(G189/F189,2))</f>
        <v>0</v>
      </c>
      <c r="N189" s="1" t="str">
        <f aca="false">IF(AND(G189&gt;3000,H189="Approved"),"High-Value Approved",IF(OR(H189="Pending",H189="Unknown"),"Needs Review","Normal"))</f>
        <v>Normal</v>
      </c>
      <c r="O189" s="1" t="str">
        <f aca="false">LEFT(B189,3)</f>
        <v>POL</v>
      </c>
      <c r="P189" s="1" t="str">
        <f aca="false">UPPER(D189)</f>
        <v>MOTOR</v>
      </c>
      <c r="Q189" s="1" t="n">
        <f aca="true">NETWORKDAYS(C189,TODAY())</f>
        <v>248</v>
      </c>
    </row>
    <row r="190" customFormat="false" ht="15" hidden="false" customHeight="true" outlineLevel="0" collapsed="false">
      <c r="A190" s="1" t="n">
        <v>187</v>
      </c>
      <c r="B190" s="1" t="s">
        <v>210</v>
      </c>
      <c r="C190" s="4" t="n">
        <v>46135</v>
      </c>
      <c r="D190" s="1" t="s">
        <v>9</v>
      </c>
      <c r="E190" s="8" t="n">
        <v>74</v>
      </c>
      <c r="F190" s="9" t="n">
        <v>528.81</v>
      </c>
      <c r="G190" s="9" t="n">
        <v>1323.43</v>
      </c>
      <c r="H190" s="1" t="s">
        <v>13</v>
      </c>
      <c r="I190" s="1" t="s">
        <v>318</v>
      </c>
      <c r="J190" s="8" t="n">
        <f aca="false">YEAR(C190)</f>
        <v>2026</v>
      </c>
      <c r="K190" s="1" t="str">
        <f aca="false">TEXT(C190,"mmm-yyyy")</f>
        <v>Apr-2026</v>
      </c>
      <c r="L190" s="1" t="str">
        <f aca="false">_xlfn.IFS(E190&lt;25,"Young (18-24)",E190&lt;=40,"Adult (25-40)",E190&lt;=60,"Mid-Age (41-60)",TRUE(),"Senior (60+)")</f>
        <v>Senior (60+)</v>
      </c>
      <c r="M190" s="10" t="n">
        <f aca="false">IF(F190=0,0,ROUND(G190/F190,2))</f>
        <v>2.5</v>
      </c>
      <c r="N190" s="1" t="str">
        <f aca="false">IF(AND(G190&gt;3000,H190="Approved"),"High-Value Approved",IF(OR(H190="Pending",H190="Unknown"),"Needs Review","Normal"))</f>
        <v>Needs Review</v>
      </c>
      <c r="O190" s="1" t="str">
        <f aca="false">LEFT(B190,3)</f>
        <v>POL</v>
      </c>
      <c r="P190" s="1" t="str">
        <f aca="false">UPPER(D190)</f>
        <v>LIFE</v>
      </c>
      <c r="Q190" s="1" t="n">
        <f aca="true">NETWORKDAYS(C190,TODAY())</f>
        <v>89</v>
      </c>
    </row>
    <row r="191" customFormat="false" ht="15" hidden="false" customHeight="true" outlineLevel="0" collapsed="false">
      <c r="A191" s="1" t="n">
        <v>188</v>
      </c>
      <c r="B191" s="1" t="s">
        <v>211</v>
      </c>
      <c r="C191" s="4" t="n">
        <v>46038</v>
      </c>
      <c r="D191" s="1" t="s">
        <v>9</v>
      </c>
      <c r="E191" s="8" t="n">
        <v>35</v>
      </c>
      <c r="F191" s="9" t="n">
        <v>358.75</v>
      </c>
      <c r="G191" s="9" t="n">
        <v>0</v>
      </c>
      <c r="H191" s="1" t="s">
        <v>38</v>
      </c>
      <c r="I191" s="1" t="s">
        <v>321</v>
      </c>
      <c r="J191" s="8" t="n">
        <f aca="false">YEAR(C191)</f>
        <v>2026</v>
      </c>
      <c r="K191" s="1" t="str">
        <f aca="false">TEXT(C191,"mmm-yyyy")</f>
        <v>Jan-2026</v>
      </c>
      <c r="L191" s="1" t="str">
        <f aca="false">_xlfn.IFS(E191&lt;25,"Young (18-24)",E191&lt;=40,"Adult (25-40)",E191&lt;=60,"Mid-Age (41-60)",TRUE(),"Senior (60+)")</f>
        <v>Adult (25-40)</v>
      </c>
      <c r="M191" s="10" t="n">
        <f aca="false">IF(F191=0,0,ROUND(G191/F191,2))</f>
        <v>0</v>
      </c>
      <c r="N191" s="1" t="str">
        <f aca="false">IF(AND(G191&gt;3000,H191="Approved"),"High-Value Approved",IF(OR(H191="Pending",H191="Unknown"),"Needs Review","Normal"))</f>
        <v>Needs Review</v>
      </c>
      <c r="O191" s="1" t="str">
        <f aca="false">LEFT(B191,3)</f>
        <v>POL</v>
      </c>
      <c r="P191" s="1" t="str">
        <f aca="false">UPPER(D191)</f>
        <v>LIFE</v>
      </c>
      <c r="Q191" s="1" t="n">
        <f aca="true">NETWORKDAYS(C191,TODAY())</f>
        <v>158</v>
      </c>
    </row>
    <row r="192" customFormat="false" ht="15" hidden="false" customHeight="true" outlineLevel="0" collapsed="false">
      <c r="A192" s="1" t="n">
        <v>189</v>
      </c>
      <c r="B192" s="1" t="s">
        <v>212</v>
      </c>
      <c r="C192" s="4" t="n">
        <v>45939</v>
      </c>
      <c r="D192" s="1" t="s">
        <v>40</v>
      </c>
      <c r="E192" s="8" t="n">
        <v>47</v>
      </c>
      <c r="F192" s="9" t="n">
        <v>122.1</v>
      </c>
      <c r="G192" s="9" t="n">
        <v>730.73</v>
      </c>
      <c r="H192" s="1" t="s">
        <v>13</v>
      </c>
      <c r="I192" s="1" t="s">
        <v>323</v>
      </c>
      <c r="J192" s="8" t="n">
        <f aca="false">YEAR(C192)</f>
        <v>2025</v>
      </c>
      <c r="K192" s="1" t="str">
        <f aca="false">TEXT(C192,"mmm-yyyy")</f>
        <v>Oct-2025</v>
      </c>
      <c r="L192" s="1" t="str">
        <f aca="false">_xlfn.IFS(E192&lt;25,"Young (18-24)",E192&lt;=40,"Adult (25-40)",E192&lt;=60,"Mid-Age (41-60)",TRUE(),"Senior (60+)")</f>
        <v>Mid-Age (41-60)</v>
      </c>
      <c r="M192" s="10" t="n">
        <f aca="false">IF(F192=0,0,ROUND(G192/F192,2))</f>
        <v>5.98</v>
      </c>
      <c r="N192" s="1" t="str">
        <f aca="false">IF(AND(G192&gt;3000,H192="Approved"),"High-Value Approved",IF(OR(H192="Pending",H192="Unknown"),"Needs Review","Normal"))</f>
        <v>Needs Review</v>
      </c>
      <c r="O192" s="1" t="str">
        <f aca="false">LEFT(B192,3)</f>
        <v>POL</v>
      </c>
      <c r="P192" s="1" t="str">
        <f aca="false">UPPER(D192)</f>
        <v>TRAVEL</v>
      </c>
      <c r="Q192" s="1" t="n">
        <f aca="true">NETWORKDAYS(C192,TODAY())</f>
        <v>229</v>
      </c>
    </row>
    <row r="193" customFormat="false" ht="15" hidden="false" customHeight="true" outlineLevel="0" collapsed="false">
      <c r="A193" s="1" t="n">
        <v>190</v>
      </c>
      <c r="B193" s="1" t="s">
        <v>214</v>
      </c>
      <c r="C193" s="4" t="n">
        <v>46018</v>
      </c>
      <c r="D193" s="1" t="s">
        <v>12</v>
      </c>
      <c r="E193" s="8" t="n">
        <v>64</v>
      </c>
      <c r="F193" s="9" t="n">
        <v>335.45</v>
      </c>
      <c r="G193" s="9" t="n">
        <v>615.14</v>
      </c>
      <c r="H193" s="1" t="s">
        <v>17</v>
      </c>
      <c r="I193" s="1" t="s">
        <v>318</v>
      </c>
      <c r="J193" s="8" t="n">
        <f aca="false">YEAR(C193)</f>
        <v>2025</v>
      </c>
      <c r="K193" s="1" t="str">
        <f aca="false">TEXT(C193,"mmm-yyyy")</f>
        <v>Dec-2025</v>
      </c>
      <c r="L193" s="1" t="str">
        <f aca="false">_xlfn.IFS(E193&lt;25,"Young (18-24)",E193&lt;=40,"Adult (25-40)",E193&lt;=60,"Mid-Age (41-60)",TRUE(),"Senior (60+)")</f>
        <v>Senior (60+)</v>
      </c>
      <c r="M193" s="10" t="n">
        <f aca="false">IF(F193=0,0,ROUND(G193/F193,2))</f>
        <v>1.83</v>
      </c>
      <c r="N193" s="1" t="str">
        <f aca="false">IF(AND(G193&gt;3000,H193="Approved"),"High-Value Approved",IF(OR(H193="Pending",H193="Unknown"),"Needs Review","Normal"))</f>
        <v>Normal</v>
      </c>
      <c r="O193" s="1" t="str">
        <f aca="false">LEFT(B193,3)</f>
        <v>POL</v>
      </c>
      <c r="P193" s="1" t="str">
        <f aca="false">UPPER(D193)</f>
        <v>MOTOR</v>
      </c>
      <c r="Q193" s="1" t="n">
        <f aca="true">NETWORKDAYS(C193,TODAY())</f>
        <v>172</v>
      </c>
    </row>
    <row r="194" customFormat="false" ht="15" hidden="false" customHeight="true" outlineLevel="0" collapsed="false">
      <c r="A194" s="1" t="n">
        <v>191</v>
      </c>
      <c r="B194" s="1" t="s">
        <v>215</v>
      </c>
      <c r="C194" s="4" t="n">
        <v>46143</v>
      </c>
      <c r="D194" s="1" t="s">
        <v>12</v>
      </c>
      <c r="E194" s="8" t="n">
        <v>40</v>
      </c>
      <c r="F194" s="9" t="n">
        <v>258.57</v>
      </c>
      <c r="G194" s="9" t="n">
        <v>0</v>
      </c>
      <c r="H194" s="1" t="s">
        <v>10</v>
      </c>
      <c r="I194" s="1" t="s">
        <v>318</v>
      </c>
      <c r="J194" s="8" t="n">
        <f aca="false">YEAR(C194)</f>
        <v>2026</v>
      </c>
      <c r="K194" s="1" t="str">
        <f aca="false">TEXT(C194,"mmm-yyyy")</f>
        <v>May-2026</v>
      </c>
      <c r="L194" s="1" t="str">
        <f aca="false">_xlfn.IFS(E194&lt;25,"Young (18-24)",E194&lt;=40,"Adult (25-40)",E194&lt;=60,"Mid-Age (41-60)",TRUE(),"Senior (60+)")</f>
        <v>Adult (25-40)</v>
      </c>
      <c r="M194" s="10" t="n">
        <f aca="false">IF(F194=0,0,ROUND(G194/F194,2))</f>
        <v>0</v>
      </c>
      <c r="N194" s="1" t="str">
        <f aca="false">IF(AND(G194&gt;3000,H194="Approved"),"High-Value Approved",IF(OR(H194="Pending",H194="Unknown"),"Needs Review","Normal"))</f>
        <v>Normal</v>
      </c>
      <c r="O194" s="1" t="str">
        <f aca="false">LEFT(B194,3)</f>
        <v>POL</v>
      </c>
      <c r="P194" s="1" t="str">
        <f aca="false">UPPER(D194)</f>
        <v>MOTOR</v>
      </c>
      <c r="Q194" s="1" t="n">
        <f aca="true">NETWORKDAYS(C194,TODAY())</f>
        <v>83</v>
      </c>
    </row>
    <row r="195" customFormat="false" ht="15" hidden="false" customHeight="true" outlineLevel="0" collapsed="false">
      <c r="A195" s="1" t="n">
        <v>192</v>
      </c>
      <c r="B195" s="1" t="s">
        <v>216</v>
      </c>
      <c r="C195" s="4" t="n">
        <v>45726</v>
      </c>
      <c r="D195" s="1" t="s">
        <v>19</v>
      </c>
      <c r="E195" s="8" t="n">
        <v>22</v>
      </c>
      <c r="F195" s="9" t="n">
        <v>269</v>
      </c>
      <c r="G195" s="9" t="n">
        <v>3241.57</v>
      </c>
      <c r="H195" s="1" t="s">
        <v>38</v>
      </c>
      <c r="I195" s="1" t="s">
        <v>321</v>
      </c>
      <c r="J195" s="8" t="n">
        <f aca="false">YEAR(C195)</f>
        <v>2025</v>
      </c>
      <c r="K195" s="1" t="str">
        <f aca="false">TEXT(C195,"mmm-yyyy")</f>
        <v>Mar-2025</v>
      </c>
      <c r="L195" s="1" t="str">
        <f aca="false">_xlfn.IFS(E195&lt;25,"Young (18-24)",E195&lt;=40,"Adult (25-40)",E195&lt;=60,"Mid-Age (41-60)",TRUE(),"Senior (60+)")</f>
        <v>Young (18-24)</v>
      </c>
      <c r="M195" s="10" t="n">
        <f aca="false">IF(F195=0,0,ROUND(G195/F195,2))</f>
        <v>12.05</v>
      </c>
      <c r="N195" s="1" t="str">
        <f aca="false">IF(AND(G195&gt;3000,H195="Approved"),"High-Value Approved",IF(OR(H195="Pending",H195="Unknown"),"Needs Review","Normal"))</f>
        <v>Needs Review</v>
      </c>
      <c r="O195" s="1" t="str">
        <f aca="false">LEFT(B195,3)</f>
        <v>POL</v>
      </c>
      <c r="P195" s="1" t="str">
        <f aca="false">UPPER(D195)</f>
        <v>HEALTH</v>
      </c>
      <c r="Q195" s="1" t="n">
        <f aca="true">NETWORKDAYS(C195,TODAY())</f>
        <v>382</v>
      </c>
    </row>
    <row r="196" customFormat="false" ht="15" hidden="false" customHeight="true" outlineLevel="0" collapsed="false">
      <c r="A196" s="1" t="n">
        <v>193</v>
      </c>
      <c r="B196" s="1" t="s">
        <v>217</v>
      </c>
      <c r="C196" s="4" t="n">
        <v>46202</v>
      </c>
      <c r="D196" s="1" t="s">
        <v>19</v>
      </c>
      <c r="E196" s="8" t="n">
        <v>55</v>
      </c>
      <c r="F196" s="9" t="n">
        <v>341.88</v>
      </c>
      <c r="G196" s="9" t="n">
        <v>1253.25</v>
      </c>
      <c r="H196" s="1" t="s">
        <v>17</v>
      </c>
      <c r="I196" s="1" t="s">
        <v>320</v>
      </c>
      <c r="J196" s="8" t="n">
        <f aca="false">YEAR(C196)</f>
        <v>2026</v>
      </c>
      <c r="K196" s="1" t="str">
        <f aca="false">TEXT(C196,"mmm-yyyy")</f>
        <v>Jun-2026</v>
      </c>
      <c r="L196" s="1" t="str">
        <f aca="false">_xlfn.IFS(E196&lt;25,"Young (18-24)",E196&lt;=40,"Adult (25-40)",E196&lt;=60,"Mid-Age (41-60)",TRUE(),"Senior (60+)")</f>
        <v>Mid-Age (41-60)</v>
      </c>
      <c r="M196" s="10" t="n">
        <f aca="false">IF(F196=0,0,ROUND(G196/F196,2))</f>
        <v>3.67</v>
      </c>
      <c r="N196" s="1" t="str">
        <f aca="false">IF(AND(G196&gt;3000,H196="Approved"),"High-Value Approved",IF(OR(H196="Pending",H196="Unknown"),"Needs Review","Normal"))</f>
        <v>Normal</v>
      </c>
      <c r="O196" s="1" t="str">
        <f aca="false">LEFT(B196,3)</f>
        <v>POL</v>
      </c>
      <c r="P196" s="1" t="str">
        <f aca="false">UPPER(D196)</f>
        <v>HEALTH</v>
      </c>
      <c r="Q196" s="1" t="n">
        <f aca="true">NETWORKDAYS(C196,TODAY())</f>
        <v>42</v>
      </c>
    </row>
    <row r="197" customFormat="false" ht="15" hidden="false" customHeight="true" outlineLevel="0" collapsed="false">
      <c r="A197" s="1" t="n">
        <v>194</v>
      </c>
      <c r="B197" s="1" t="s">
        <v>218</v>
      </c>
      <c r="C197" s="4" t="n">
        <v>45873</v>
      </c>
      <c r="D197" s="1" t="s">
        <v>19</v>
      </c>
      <c r="E197" s="8" t="n">
        <v>33</v>
      </c>
      <c r="F197" s="9" t="n">
        <v>282.63</v>
      </c>
      <c r="G197" s="9" t="n">
        <v>3474.06</v>
      </c>
      <c r="H197" s="1" t="s">
        <v>13</v>
      </c>
      <c r="I197" s="1" t="s">
        <v>318</v>
      </c>
      <c r="J197" s="8" t="n">
        <f aca="false">YEAR(C197)</f>
        <v>2025</v>
      </c>
      <c r="K197" s="1" t="str">
        <f aca="false">TEXT(C197,"mmm-yyyy")</f>
        <v>Aug-2025</v>
      </c>
      <c r="L197" s="1" t="str">
        <f aca="false">_xlfn.IFS(E197&lt;25,"Young (18-24)",E197&lt;=40,"Adult (25-40)",E197&lt;=60,"Mid-Age (41-60)",TRUE(),"Senior (60+)")</f>
        <v>Adult (25-40)</v>
      </c>
      <c r="M197" s="10" t="n">
        <f aca="false">IF(F197=0,0,ROUND(G197/F197,2))</f>
        <v>12.29</v>
      </c>
      <c r="N197" s="1" t="str">
        <f aca="false">IF(AND(G197&gt;3000,H197="Approved"),"High-Value Approved",IF(OR(H197="Pending",H197="Unknown"),"Needs Review","Normal"))</f>
        <v>Needs Review</v>
      </c>
      <c r="O197" s="1" t="str">
        <f aca="false">LEFT(B197,3)</f>
        <v>POL</v>
      </c>
      <c r="P197" s="1" t="str">
        <f aca="false">UPPER(D197)</f>
        <v>HEALTH</v>
      </c>
      <c r="Q197" s="1" t="n">
        <f aca="true">NETWORKDAYS(C197,TODAY())</f>
        <v>277</v>
      </c>
    </row>
    <row r="198" customFormat="false" ht="15" hidden="false" customHeight="true" outlineLevel="0" collapsed="false">
      <c r="A198" s="1" t="n">
        <v>195</v>
      </c>
      <c r="B198" s="1" t="s">
        <v>219</v>
      </c>
      <c r="C198" s="4" t="n">
        <v>45939</v>
      </c>
      <c r="D198" s="1" t="s">
        <v>9</v>
      </c>
      <c r="E198" s="8" t="n">
        <v>41</v>
      </c>
      <c r="F198" s="9" t="n">
        <v>435.79</v>
      </c>
      <c r="G198" s="9" t="n">
        <v>0</v>
      </c>
      <c r="H198" s="1" t="s">
        <v>10</v>
      </c>
      <c r="I198" s="1" t="s">
        <v>316</v>
      </c>
      <c r="J198" s="8" t="n">
        <f aca="false">YEAR(C198)</f>
        <v>2025</v>
      </c>
      <c r="K198" s="1" t="str">
        <f aca="false">TEXT(C198,"mmm-yyyy")</f>
        <v>Oct-2025</v>
      </c>
      <c r="L198" s="1" t="str">
        <f aca="false">_xlfn.IFS(E198&lt;25,"Young (18-24)",E198&lt;=40,"Adult (25-40)",E198&lt;=60,"Mid-Age (41-60)",TRUE(),"Senior (60+)")</f>
        <v>Mid-Age (41-60)</v>
      </c>
      <c r="M198" s="10" t="n">
        <f aca="false">IF(F198=0,0,ROUND(G198/F198,2))</f>
        <v>0</v>
      </c>
      <c r="N198" s="1" t="str">
        <f aca="false">IF(AND(G198&gt;3000,H198="Approved"),"High-Value Approved",IF(OR(H198="Pending",H198="Unknown"),"Needs Review","Normal"))</f>
        <v>Normal</v>
      </c>
      <c r="O198" s="1" t="str">
        <f aca="false">LEFT(B198,3)</f>
        <v>POL</v>
      </c>
      <c r="P198" s="1" t="str">
        <f aca="false">UPPER(D198)</f>
        <v>LIFE</v>
      </c>
      <c r="Q198" s="1" t="n">
        <f aca="true">NETWORKDAYS(C198,TODAY())</f>
        <v>229</v>
      </c>
    </row>
    <row r="199" customFormat="false" ht="15" hidden="false" customHeight="true" outlineLevel="0" collapsed="false">
      <c r="A199" s="1" t="n">
        <v>196</v>
      </c>
      <c r="B199" s="1" t="s">
        <v>220</v>
      </c>
      <c r="C199" s="4" t="n">
        <v>45718</v>
      </c>
      <c r="D199" s="1" t="s">
        <v>9</v>
      </c>
      <c r="E199" s="8" t="n">
        <v>61</v>
      </c>
      <c r="F199" s="9" t="n">
        <v>418.98</v>
      </c>
      <c r="G199" s="9" t="n">
        <v>0</v>
      </c>
      <c r="H199" s="1" t="s">
        <v>38</v>
      </c>
      <c r="I199" s="1" t="s">
        <v>321</v>
      </c>
      <c r="J199" s="8" t="n">
        <f aca="false">YEAR(C199)</f>
        <v>2025</v>
      </c>
      <c r="K199" s="1" t="str">
        <f aca="false">TEXT(C199,"mmm-yyyy")</f>
        <v>Mar-2025</v>
      </c>
      <c r="L199" s="1" t="str">
        <f aca="false">_xlfn.IFS(E199&lt;25,"Young (18-24)",E199&lt;=40,"Adult (25-40)",E199&lt;=60,"Mid-Age (41-60)",TRUE(),"Senior (60+)")</f>
        <v>Senior (60+)</v>
      </c>
      <c r="M199" s="10" t="n">
        <f aca="false">IF(F199=0,0,ROUND(G199/F199,2))</f>
        <v>0</v>
      </c>
      <c r="N199" s="1" t="str">
        <f aca="false">IF(AND(G199&gt;3000,H199="Approved"),"High-Value Approved",IF(OR(H199="Pending",H199="Unknown"),"Needs Review","Normal"))</f>
        <v>Needs Review</v>
      </c>
      <c r="O199" s="1" t="str">
        <f aca="false">LEFT(B199,3)</f>
        <v>POL</v>
      </c>
      <c r="P199" s="1" t="str">
        <f aca="false">UPPER(D199)</f>
        <v>LIFE</v>
      </c>
      <c r="Q199" s="1" t="n">
        <f aca="true">NETWORKDAYS(C199,TODAY())</f>
        <v>387</v>
      </c>
    </row>
    <row r="200" customFormat="false" ht="15" hidden="false" customHeight="true" outlineLevel="0" collapsed="false">
      <c r="A200" s="1" t="n">
        <v>197</v>
      </c>
      <c r="B200" s="1" t="s">
        <v>221</v>
      </c>
      <c r="C200" s="4" t="n">
        <v>45679</v>
      </c>
      <c r="D200" s="1" t="s">
        <v>19</v>
      </c>
      <c r="E200" s="8" t="n">
        <v>35</v>
      </c>
      <c r="F200" s="9" t="n">
        <v>276.36</v>
      </c>
      <c r="G200" s="9" t="n">
        <v>3372.3</v>
      </c>
      <c r="H200" s="1" t="s">
        <v>13</v>
      </c>
      <c r="I200" s="1" t="s">
        <v>318</v>
      </c>
      <c r="J200" s="8" t="n">
        <f aca="false">YEAR(C200)</f>
        <v>2025</v>
      </c>
      <c r="K200" s="1" t="str">
        <f aca="false">TEXT(C200,"mmm-yyyy")</f>
        <v>Jan-2025</v>
      </c>
      <c r="L200" s="1" t="str">
        <f aca="false">_xlfn.IFS(E200&lt;25,"Young (18-24)",E200&lt;=40,"Adult (25-40)",E200&lt;=60,"Mid-Age (41-60)",TRUE(),"Senior (60+)")</f>
        <v>Adult (25-40)</v>
      </c>
      <c r="M200" s="10" t="n">
        <f aca="false">IF(F200=0,0,ROUND(G200/F200,2))</f>
        <v>12.2</v>
      </c>
      <c r="N200" s="1" t="str">
        <f aca="false">IF(AND(G200&gt;3000,H200="Approved"),"High-Value Approved",IF(OR(H200="Pending",H200="Unknown"),"Needs Review","Normal"))</f>
        <v>Needs Review</v>
      </c>
      <c r="O200" s="1" t="str">
        <f aca="false">LEFT(B200,3)</f>
        <v>POL</v>
      </c>
      <c r="P200" s="1" t="str">
        <f aca="false">UPPER(D200)</f>
        <v>HEALTH</v>
      </c>
      <c r="Q200" s="1" t="n">
        <f aca="true">NETWORKDAYS(C200,TODAY())</f>
        <v>415</v>
      </c>
    </row>
    <row r="201" customFormat="false" ht="15" hidden="false" customHeight="true" outlineLevel="0" collapsed="false">
      <c r="A201" s="1" t="n">
        <v>198</v>
      </c>
      <c r="B201" s="1" t="s">
        <v>222</v>
      </c>
      <c r="C201" s="4" t="n">
        <v>45922</v>
      </c>
      <c r="D201" s="1" t="s">
        <v>19</v>
      </c>
      <c r="E201" s="8" t="n">
        <v>72</v>
      </c>
      <c r="F201" s="9" t="n">
        <v>357.36</v>
      </c>
      <c r="G201" s="9" t="n">
        <v>1485.33</v>
      </c>
      <c r="H201" s="1" t="s">
        <v>13</v>
      </c>
      <c r="I201" s="1" t="s">
        <v>322</v>
      </c>
      <c r="J201" s="8" t="n">
        <f aca="false">YEAR(C201)</f>
        <v>2025</v>
      </c>
      <c r="K201" s="1" t="str">
        <f aca="false">TEXT(C201,"mmm-yyyy")</f>
        <v>Sep-2025</v>
      </c>
      <c r="L201" s="1" t="str">
        <f aca="false">_xlfn.IFS(E201&lt;25,"Young (18-24)",E201&lt;=40,"Adult (25-40)",E201&lt;=60,"Mid-Age (41-60)",TRUE(),"Senior (60+)")</f>
        <v>Senior (60+)</v>
      </c>
      <c r="M201" s="10" t="n">
        <f aca="false">IF(F201=0,0,ROUND(G201/F201,2))</f>
        <v>4.16</v>
      </c>
      <c r="N201" s="1" t="str">
        <f aca="false">IF(AND(G201&gt;3000,H201="Approved"),"High-Value Approved",IF(OR(H201="Pending",H201="Unknown"),"Needs Review","Normal"))</f>
        <v>Needs Review</v>
      </c>
      <c r="O201" s="1" t="str">
        <f aca="false">LEFT(B201,3)</f>
        <v>POL</v>
      </c>
      <c r="P201" s="1" t="str">
        <f aca="false">UPPER(D201)</f>
        <v>HEALTH</v>
      </c>
      <c r="Q201" s="1" t="n">
        <f aca="true">NETWORKDAYS(C201,TODAY())</f>
        <v>242</v>
      </c>
    </row>
    <row r="202" customFormat="false" ht="15" hidden="false" customHeight="true" outlineLevel="0" collapsed="false">
      <c r="A202" s="1" t="n">
        <v>199</v>
      </c>
      <c r="B202" s="1" t="s">
        <v>223</v>
      </c>
      <c r="C202" s="4" t="n">
        <v>45889</v>
      </c>
      <c r="D202" s="1" t="s">
        <v>40</v>
      </c>
      <c r="E202" s="8" t="n">
        <v>80</v>
      </c>
      <c r="F202" s="9" t="n">
        <v>107.94</v>
      </c>
      <c r="G202" s="9" t="n">
        <v>0</v>
      </c>
      <c r="H202" s="1" t="s">
        <v>10</v>
      </c>
      <c r="I202" s="1" t="s">
        <v>318</v>
      </c>
      <c r="J202" s="8" t="n">
        <f aca="false">YEAR(C202)</f>
        <v>2025</v>
      </c>
      <c r="K202" s="1" t="str">
        <f aca="false">TEXT(C202,"mmm-yyyy")</f>
        <v>Aug-2025</v>
      </c>
      <c r="L202" s="1" t="str">
        <f aca="false">_xlfn.IFS(E202&lt;25,"Young (18-24)",E202&lt;=40,"Adult (25-40)",E202&lt;=60,"Mid-Age (41-60)",TRUE(),"Senior (60+)")</f>
        <v>Senior (60+)</v>
      </c>
      <c r="M202" s="10" t="n">
        <f aca="false">IF(F202=0,0,ROUND(G202/F202,2))</f>
        <v>0</v>
      </c>
      <c r="N202" s="1" t="str">
        <f aca="false">IF(AND(G202&gt;3000,H202="Approved"),"High-Value Approved",IF(OR(H202="Pending",H202="Unknown"),"Needs Review","Normal"))</f>
        <v>Normal</v>
      </c>
      <c r="O202" s="1" t="str">
        <f aca="false">LEFT(B202,3)</f>
        <v>POL</v>
      </c>
      <c r="P202" s="1" t="str">
        <f aca="false">UPPER(D202)</f>
        <v>TRAVEL</v>
      </c>
      <c r="Q202" s="1" t="n">
        <f aca="true">NETWORKDAYS(C202,TODAY())</f>
        <v>265</v>
      </c>
    </row>
    <row r="203" customFormat="false" ht="15" hidden="false" customHeight="true" outlineLevel="0" collapsed="false">
      <c r="A203" s="1" t="n">
        <v>200</v>
      </c>
      <c r="B203" s="1" t="s">
        <v>224</v>
      </c>
      <c r="C203" s="4" t="n">
        <v>45976</v>
      </c>
      <c r="D203" s="1" t="s">
        <v>12</v>
      </c>
      <c r="E203" s="8" t="n">
        <v>71</v>
      </c>
      <c r="F203" s="9" t="n">
        <v>292.55</v>
      </c>
      <c r="G203" s="9" t="n">
        <v>2390.31</v>
      </c>
      <c r="H203" s="1" t="s">
        <v>13</v>
      </c>
      <c r="I203" s="1" t="s">
        <v>320</v>
      </c>
      <c r="J203" s="8" t="n">
        <f aca="false">YEAR(C203)</f>
        <v>2025</v>
      </c>
      <c r="K203" s="1" t="str">
        <f aca="false">TEXT(C203,"mmm-yyyy")</f>
        <v>Nov-2025</v>
      </c>
      <c r="L203" s="1" t="str">
        <f aca="false">_xlfn.IFS(E203&lt;25,"Young (18-24)",E203&lt;=40,"Adult (25-40)",E203&lt;=60,"Mid-Age (41-60)",TRUE(),"Senior (60+)")</f>
        <v>Senior (60+)</v>
      </c>
      <c r="M203" s="10" t="n">
        <f aca="false">IF(F203=0,0,ROUND(G203/F203,2))</f>
        <v>8.17</v>
      </c>
      <c r="N203" s="1" t="str">
        <f aca="false">IF(AND(G203&gt;3000,H203="Approved"),"High-Value Approved",IF(OR(H203="Pending",H203="Unknown"),"Needs Review","Normal"))</f>
        <v>Needs Review</v>
      </c>
      <c r="O203" s="1" t="str">
        <f aca="false">LEFT(B203,3)</f>
        <v>POL</v>
      </c>
      <c r="P203" s="1" t="str">
        <f aca="false">UPPER(D203)</f>
        <v>MOTOR</v>
      </c>
      <c r="Q203" s="1" t="n">
        <f aca="true">NETWORKDAYS(C203,TODAY())</f>
        <v>202</v>
      </c>
    </row>
    <row r="204" customFormat="false" ht="15" hidden="false" customHeight="true" outlineLevel="0" collapsed="false">
      <c r="A204" s="1" t="n">
        <v>201</v>
      </c>
      <c r="B204" s="1" t="s">
        <v>225</v>
      </c>
      <c r="C204" s="4" t="n">
        <v>45792</v>
      </c>
      <c r="D204" s="1" t="s">
        <v>19</v>
      </c>
      <c r="E204" s="8" t="n">
        <v>78</v>
      </c>
      <c r="F204" s="9" t="n">
        <v>416.61</v>
      </c>
      <c r="G204" s="9" t="n">
        <v>0</v>
      </c>
      <c r="H204" s="1" t="s">
        <v>10</v>
      </c>
      <c r="I204" s="1" t="s">
        <v>318</v>
      </c>
      <c r="J204" s="8" t="n">
        <f aca="false">YEAR(C204)</f>
        <v>2025</v>
      </c>
      <c r="K204" s="1" t="str">
        <f aca="false">TEXT(C204,"mmm-yyyy")</f>
        <v>May-2025</v>
      </c>
      <c r="L204" s="1" t="str">
        <f aca="false">_xlfn.IFS(E204&lt;25,"Young (18-24)",E204&lt;=40,"Adult (25-40)",E204&lt;=60,"Mid-Age (41-60)",TRUE(),"Senior (60+)")</f>
        <v>Senior (60+)</v>
      </c>
      <c r="M204" s="10" t="n">
        <f aca="false">IF(F204=0,0,ROUND(G204/F204,2))</f>
        <v>0</v>
      </c>
      <c r="N204" s="1" t="str">
        <f aca="false">IF(AND(G204&gt;3000,H204="Approved"),"High-Value Approved",IF(OR(H204="Pending",H204="Unknown"),"Needs Review","Normal"))</f>
        <v>Normal</v>
      </c>
      <c r="O204" s="1" t="str">
        <f aca="false">LEFT(B204,3)</f>
        <v>POL</v>
      </c>
      <c r="P204" s="1" t="str">
        <f aca="false">UPPER(D204)</f>
        <v>HEALTH</v>
      </c>
      <c r="Q204" s="1" t="n">
        <f aca="true">NETWORKDAYS(C204,TODAY())</f>
        <v>334</v>
      </c>
    </row>
    <row r="205" customFormat="false" ht="15" hidden="false" customHeight="true" outlineLevel="0" collapsed="false">
      <c r="A205" s="1" t="n">
        <v>202</v>
      </c>
      <c r="B205" s="1" t="s">
        <v>226</v>
      </c>
      <c r="C205" s="4" t="n">
        <v>45979</v>
      </c>
      <c r="D205" s="1" t="s">
        <v>19</v>
      </c>
      <c r="E205" s="8" t="n">
        <v>52</v>
      </c>
      <c r="F205" s="9" t="n">
        <v>328.71</v>
      </c>
      <c r="G205" s="9" t="n">
        <v>3230.38</v>
      </c>
      <c r="H205" s="1" t="s">
        <v>30</v>
      </c>
      <c r="I205" s="1" t="s">
        <v>318</v>
      </c>
      <c r="J205" s="8" t="n">
        <f aca="false">YEAR(C205)</f>
        <v>2025</v>
      </c>
      <c r="K205" s="1" t="str">
        <f aca="false">TEXT(C205,"mmm-yyyy")</f>
        <v>Nov-2025</v>
      </c>
      <c r="L205" s="1" t="str">
        <f aca="false">_xlfn.IFS(E205&lt;25,"Young (18-24)",E205&lt;=40,"Adult (25-40)",E205&lt;=60,"Mid-Age (41-60)",TRUE(),"Senior (60+)")</f>
        <v>Mid-Age (41-60)</v>
      </c>
      <c r="M205" s="10" t="n">
        <f aca="false">IF(F205=0,0,ROUND(G205/F205,2))</f>
        <v>9.83</v>
      </c>
      <c r="N205" s="1" t="str">
        <f aca="false">IF(AND(G205&gt;3000,H205="Approved"),"High-Value Approved",IF(OR(H205="Pending",H205="Unknown"),"Needs Review","Normal"))</f>
        <v>Normal</v>
      </c>
      <c r="O205" s="1" t="str">
        <f aca="false">LEFT(B205,3)</f>
        <v>POL</v>
      </c>
      <c r="P205" s="1" t="str">
        <f aca="false">UPPER(D205)</f>
        <v>HEALTH</v>
      </c>
      <c r="Q205" s="1" t="n">
        <f aca="true">NETWORKDAYS(C205,TODAY())</f>
        <v>201</v>
      </c>
    </row>
    <row r="206" customFormat="false" ht="15" hidden="false" customHeight="true" outlineLevel="0" collapsed="false">
      <c r="A206" s="1" t="n">
        <v>203</v>
      </c>
      <c r="B206" s="1" t="s">
        <v>227</v>
      </c>
      <c r="C206" s="4" t="n">
        <v>45660</v>
      </c>
      <c r="D206" s="1" t="s">
        <v>16</v>
      </c>
      <c r="E206" s="8" t="n">
        <v>30</v>
      </c>
      <c r="F206" s="9" t="n">
        <v>469.45</v>
      </c>
      <c r="G206" s="9" t="n">
        <v>0</v>
      </c>
      <c r="H206" s="1" t="s">
        <v>10</v>
      </c>
      <c r="I206" s="1" t="s">
        <v>318</v>
      </c>
      <c r="J206" s="8" t="n">
        <f aca="false">YEAR(C206)</f>
        <v>2025</v>
      </c>
      <c r="K206" s="1" t="str">
        <f aca="false">TEXT(C206,"mmm-yyyy")</f>
        <v>Jan-2025</v>
      </c>
      <c r="L206" s="1" t="str">
        <f aca="false">_xlfn.IFS(E206&lt;25,"Young (18-24)",E206&lt;=40,"Adult (25-40)",E206&lt;=60,"Mid-Age (41-60)",TRUE(),"Senior (60+)")</f>
        <v>Adult (25-40)</v>
      </c>
      <c r="M206" s="10" t="n">
        <f aca="false">IF(F206=0,0,ROUND(G206/F206,2))</f>
        <v>0</v>
      </c>
      <c r="N206" s="1" t="str">
        <f aca="false">IF(AND(G206&gt;3000,H206="Approved"),"High-Value Approved",IF(OR(H206="Pending",H206="Unknown"),"Needs Review","Normal"))</f>
        <v>Normal</v>
      </c>
      <c r="O206" s="1" t="str">
        <f aca="false">LEFT(B206,3)</f>
        <v>POL</v>
      </c>
      <c r="P206" s="1" t="str">
        <f aca="false">UPPER(D206)</f>
        <v>PROPERTY</v>
      </c>
      <c r="Q206" s="1" t="n">
        <f aca="true">NETWORKDAYS(C206,TODAY())</f>
        <v>428</v>
      </c>
    </row>
    <row r="207" customFormat="false" ht="15" hidden="false" customHeight="true" outlineLevel="0" collapsed="false">
      <c r="A207" s="1" t="n">
        <v>204</v>
      </c>
      <c r="B207" s="1" t="s">
        <v>228</v>
      </c>
      <c r="C207" s="4" t="n">
        <v>46148</v>
      </c>
      <c r="D207" s="1" t="s">
        <v>12</v>
      </c>
      <c r="E207" s="8" t="n">
        <v>47</v>
      </c>
      <c r="F207" s="9" t="n">
        <v>347.66</v>
      </c>
      <c r="G207" s="9" t="n">
        <v>0</v>
      </c>
      <c r="H207" s="1" t="s">
        <v>10</v>
      </c>
      <c r="I207" s="1" t="s">
        <v>319</v>
      </c>
      <c r="J207" s="8" t="n">
        <f aca="false">YEAR(C207)</f>
        <v>2026</v>
      </c>
      <c r="K207" s="1" t="str">
        <f aca="false">TEXT(C207,"mmm-yyyy")</f>
        <v>May-2026</v>
      </c>
      <c r="L207" s="1" t="str">
        <f aca="false">_xlfn.IFS(E207&lt;25,"Young (18-24)",E207&lt;=40,"Adult (25-40)",E207&lt;=60,"Mid-Age (41-60)",TRUE(),"Senior (60+)")</f>
        <v>Mid-Age (41-60)</v>
      </c>
      <c r="M207" s="10" t="n">
        <f aca="false">IF(F207=0,0,ROUND(G207/F207,2))</f>
        <v>0</v>
      </c>
      <c r="N207" s="1" t="str">
        <f aca="false">IF(AND(G207&gt;3000,H207="Approved"),"High-Value Approved",IF(OR(H207="Pending",H207="Unknown"),"Needs Review","Normal"))</f>
        <v>Normal</v>
      </c>
      <c r="O207" s="1" t="str">
        <f aca="false">LEFT(B207,3)</f>
        <v>POL</v>
      </c>
      <c r="P207" s="1" t="str">
        <f aca="false">UPPER(D207)</f>
        <v>MOTOR</v>
      </c>
      <c r="Q207" s="1" t="n">
        <f aca="true">NETWORKDAYS(C207,TODAY())</f>
        <v>80</v>
      </c>
    </row>
    <row r="208" customFormat="false" ht="15" hidden="false" customHeight="true" outlineLevel="0" collapsed="false">
      <c r="A208" s="1" t="n">
        <v>205</v>
      </c>
      <c r="B208" s="1" t="s">
        <v>229</v>
      </c>
      <c r="C208" s="4" t="n">
        <v>45746</v>
      </c>
      <c r="D208" s="1" t="s">
        <v>16</v>
      </c>
      <c r="E208" s="8" t="n">
        <v>49</v>
      </c>
      <c r="F208" s="9" t="n">
        <v>517.41</v>
      </c>
      <c r="G208" s="9" t="n">
        <v>2426.72</v>
      </c>
      <c r="H208" s="1" t="s">
        <v>30</v>
      </c>
      <c r="I208" s="1" t="s">
        <v>319</v>
      </c>
      <c r="J208" s="8" t="n">
        <f aca="false">YEAR(C208)</f>
        <v>2025</v>
      </c>
      <c r="K208" s="1" t="str">
        <f aca="false">TEXT(C208,"mmm-yyyy")</f>
        <v>Mar-2025</v>
      </c>
      <c r="L208" s="1" t="str">
        <f aca="false">_xlfn.IFS(E208&lt;25,"Young (18-24)",E208&lt;=40,"Adult (25-40)",E208&lt;=60,"Mid-Age (41-60)",TRUE(),"Senior (60+)")</f>
        <v>Mid-Age (41-60)</v>
      </c>
      <c r="M208" s="10" t="n">
        <f aca="false">IF(F208=0,0,ROUND(G208/F208,2))</f>
        <v>4.69</v>
      </c>
      <c r="N208" s="1" t="str">
        <f aca="false">IF(AND(G208&gt;3000,H208="Approved"),"High-Value Approved",IF(OR(H208="Pending",H208="Unknown"),"Needs Review","Normal"))</f>
        <v>Normal</v>
      </c>
      <c r="O208" s="1" t="str">
        <f aca="false">LEFT(B208,3)</f>
        <v>POL</v>
      </c>
      <c r="P208" s="1" t="str">
        <f aca="false">UPPER(D208)</f>
        <v>PROPERTY</v>
      </c>
      <c r="Q208" s="1" t="n">
        <f aca="true">NETWORKDAYS(C208,TODAY())</f>
        <v>367</v>
      </c>
    </row>
    <row r="209" customFormat="false" ht="15" hidden="false" customHeight="true" outlineLevel="0" collapsed="false">
      <c r="A209" s="1" t="n">
        <v>206</v>
      </c>
      <c r="B209" s="1" t="s">
        <v>230</v>
      </c>
      <c r="C209" s="4" t="n">
        <v>45670</v>
      </c>
      <c r="D209" s="1" t="s">
        <v>19</v>
      </c>
      <c r="E209" s="8" t="n">
        <v>40</v>
      </c>
      <c r="F209" s="9" t="n">
        <v>360.45</v>
      </c>
      <c r="G209" s="9" t="n">
        <v>1801.76</v>
      </c>
      <c r="H209" s="1" t="s">
        <v>38</v>
      </c>
      <c r="I209" s="1" t="s">
        <v>321</v>
      </c>
      <c r="J209" s="8" t="n">
        <f aca="false">YEAR(C209)</f>
        <v>2025</v>
      </c>
      <c r="K209" s="1" t="str">
        <f aca="false">TEXT(C209,"mmm-yyyy")</f>
        <v>Jan-2025</v>
      </c>
      <c r="L209" s="1" t="str">
        <f aca="false">_xlfn.IFS(E209&lt;25,"Young (18-24)",E209&lt;=40,"Adult (25-40)",E209&lt;=60,"Mid-Age (41-60)",TRUE(),"Senior (60+)")</f>
        <v>Adult (25-40)</v>
      </c>
      <c r="M209" s="10" t="n">
        <f aca="false">IF(F209=0,0,ROUND(G209/F209,2))</f>
        <v>5</v>
      </c>
      <c r="N209" s="1" t="str">
        <f aca="false">IF(AND(G209&gt;3000,H209="Approved"),"High-Value Approved",IF(OR(H209="Pending",H209="Unknown"),"Needs Review","Normal"))</f>
        <v>Needs Review</v>
      </c>
      <c r="O209" s="1" t="str">
        <f aca="false">LEFT(B209,3)</f>
        <v>POL</v>
      </c>
      <c r="P209" s="1" t="str">
        <f aca="false">UPPER(D209)</f>
        <v>HEALTH</v>
      </c>
      <c r="Q209" s="1" t="n">
        <f aca="true">NETWORKDAYS(C209,TODAY())</f>
        <v>422</v>
      </c>
    </row>
    <row r="210" customFormat="false" ht="15" hidden="false" customHeight="true" outlineLevel="0" collapsed="false">
      <c r="A210" s="1" t="n">
        <v>207</v>
      </c>
      <c r="B210" s="1" t="s">
        <v>231</v>
      </c>
      <c r="C210" s="4" t="n">
        <v>45704</v>
      </c>
      <c r="D210" s="1" t="s">
        <v>16</v>
      </c>
      <c r="E210" s="8" t="n">
        <v>42</v>
      </c>
      <c r="F210" s="9" t="n">
        <v>475.22</v>
      </c>
      <c r="G210" s="9" t="n">
        <v>3375.56</v>
      </c>
      <c r="H210" s="1" t="s">
        <v>13</v>
      </c>
      <c r="I210" s="1" t="s">
        <v>318</v>
      </c>
      <c r="J210" s="8" t="n">
        <f aca="false">YEAR(C210)</f>
        <v>2025</v>
      </c>
      <c r="K210" s="1" t="str">
        <f aca="false">TEXT(C210,"mmm-yyyy")</f>
        <v>Feb-2025</v>
      </c>
      <c r="L210" s="1" t="str">
        <f aca="false">_xlfn.IFS(E210&lt;25,"Young (18-24)",E210&lt;=40,"Adult (25-40)",E210&lt;=60,"Mid-Age (41-60)",TRUE(),"Senior (60+)")</f>
        <v>Mid-Age (41-60)</v>
      </c>
      <c r="M210" s="10" t="n">
        <f aca="false">IF(F210=0,0,ROUND(G210/F210,2))</f>
        <v>7.1</v>
      </c>
      <c r="N210" s="1" t="str">
        <f aca="false">IF(AND(G210&gt;3000,H210="Approved"),"High-Value Approved",IF(OR(H210="Pending",H210="Unknown"),"Needs Review","Normal"))</f>
        <v>Needs Review</v>
      </c>
      <c r="O210" s="1" t="str">
        <f aca="false">LEFT(B210,3)</f>
        <v>POL</v>
      </c>
      <c r="P210" s="1" t="str">
        <f aca="false">UPPER(D210)</f>
        <v>PROPERTY</v>
      </c>
      <c r="Q210" s="1" t="n">
        <f aca="true">NETWORKDAYS(C210,TODAY())</f>
        <v>397</v>
      </c>
    </row>
    <row r="211" customFormat="false" ht="15" hidden="false" customHeight="true" outlineLevel="0" collapsed="false">
      <c r="A211" s="1" t="n">
        <v>208</v>
      </c>
      <c r="B211" s="1" t="s">
        <v>232</v>
      </c>
      <c r="C211" s="4" t="n">
        <v>45663</v>
      </c>
      <c r="D211" s="1" t="s">
        <v>16</v>
      </c>
      <c r="E211" s="8" t="n">
        <v>77</v>
      </c>
      <c r="F211" s="9" t="n">
        <v>532.19</v>
      </c>
      <c r="G211" s="9" t="n">
        <v>1639.93</v>
      </c>
      <c r="H211" s="1" t="s">
        <v>17</v>
      </c>
      <c r="I211" s="1" t="s">
        <v>318</v>
      </c>
      <c r="J211" s="8" t="n">
        <f aca="false">YEAR(C211)</f>
        <v>2025</v>
      </c>
      <c r="K211" s="1" t="str">
        <f aca="false">TEXT(C211,"mmm-yyyy")</f>
        <v>Jan-2025</v>
      </c>
      <c r="L211" s="1" t="str">
        <f aca="false">_xlfn.IFS(E211&lt;25,"Young (18-24)",E211&lt;=40,"Adult (25-40)",E211&lt;=60,"Mid-Age (41-60)",TRUE(),"Senior (60+)")</f>
        <v>Senior (60+)</v>
      </c>
      <c r="M211" s="10" t="n">
        <f aca="false">IF(F211=0,0,ROUND(G211/F211,2))</f>
        <v>3.08</v>
      </c>
      <c r="N211" s="1" t="str">
        <f aca="false">IF(AND(G211&gt;3000,H211="Approved"),"High-Value Approved",IF(OR(H211="Pending",H211="Unknown"),"Needs Review","Normal"))</f>
        <v>Normal</v>
      </c>
      <c r="O211" s="1" t="str">
        <f aca="false">LEFT(B211,3)</f>
        <v>POL</v>
      </c>
      <c r="P211" s="1" t="str">
        <f aca="false">UPPER(D211)</f>
        <v>PROPERTY</v>
      </c>
      <c r="Q211" s="1" t="n">
        <f aca="true">NETWORKDAYS(C211,TODAY())</f>
        <v>427</v>
      </c>
    </row>
    <row r="212" customFormat="false" ht="15" hidden="false" customHeight="true" outlineLevel="0" collapsed="false">
      <c r="A212" s="1" t="n">
        <v>209</v>
      </c>
      <c r="B212" s="1" t="s">
        <v>233</v>
      </c>
      <c r="C212" s="4" t="n">
        <v>45939</v>
      </c>
      <c r="D212" s="1" t="s">
        <v>16</v>
      </c>
      <c r="E212" s="8" t="n">
        <v>80</v>
      </c>
      <c r="F212" s="9" t="n">
        <v>435.62</v>
      </c>
      <c r="G212" s="9" t="n">
        <v>1148.09</v>
      </c>
      <c r="H212" s="1" t="s">
        <v>30</v>
      </c>
      <c r="I212" s="1" t="s">
        <v>318</v>
      </c>
      <c r="J212" s="8" t="n">
        <f aca="false">YEAR(C212)</f>
        <v>2025</v>
      </c>
      <c r="K212" s="1" t="str">
        <f aca="false">TEXT(C212,"mmm-yyyy")</f>
        <v>Oct-2025</v>
      </c>
      <c r="L212" s="1" t="str">
        <f aca="false">_xlfn.IFS(E212&lt;25,"Young (18-24)",E212&lt;=40,"Adult (25-40)",E212&lt;=60,"Mid-Age (41-60)",TRUE(),"Senior (60+)")</f>
        <v>Senior (60+)</v>
      </c>
      <c r="M212" s="10" t="n">
        <f aca="false">IF(F212=0,0,ROUND(G212/F212,2))</f>
        <v>2.64</v>
      </c>
      <c r="N212" s="1" t="str">
        <f aca="false">IF(AND(G212&gt;3000,H212="Approved"),"High-Value Approved",IF(OR(H212="Pending",H212="Unknown"),"Needs Review","Normal"))</f>
        <v>Normal</v>
      </c>
      <c r="O212" s="1" t="str">
        <f aca="false">LEFT(B212,3)</f>
        <v>POL</v>
      </c>
      <c r="P212" s="1" t="str">
        <f aca="false">UPPER(D212)</f>
        <v>PROPERTY</v>
      </c>
      <c r="Q212" s="1" t="n">
        <f aca="true">NETWORKDAYS(C212,TODAY())</f>
        <v>229</v>
      </c>
    </row>
    <row r="213" customFormat="false" ht="15" hidden="false" customHeight="true" outlineLevel="0" collapsed="false">
      <c r="A213" s="1" t="n">
        <v>210</v>
      </c>
      <c r="B213" s="1" t="s">
        <v>234</v>
      </c>
      <c r="C213" s="4" t="n">
        <v>45906</v>
      </c>
      <c r="D213" s="1" t="s">
        <v>16</v>
      </c>
      <c r="E213" s="8" t="n">
        <v>30</v>
      </c>
      <c r="F213" s="9" t="n">
        <v>465.9</v>
      </c>
      <c r="G213" s="9" t="n">
        <v>0</v>
      </c>
      <c r="H213" s="1" t="s">
        <v>10</v>
      </c>
      <c r="I213" s="1" t="s">
        <v>318</v>
      </c>
      <c r="J213" s="8" t="n">
        <f aca="false">YEAR(C213)</f>
        <v>2025</v>
      </c>
      <c r="K213" s="1" t="str">
        <f aca="false">TEXT(C213,"mmm-yyyy")</f>
        <v>Sep-2025</v>
      </c>
      <c r="L213" s="1" t="str">
        <f aca="false">_xlfn.IFS(E213&lt;25,"Young (18-24)",E213&lt;=40,"Adult (25-40)",E213&lt;=60,"Mid-Age (41-60)",TRUE(),"Senior (60+)")</f>
        <v>Adult (25-40)</v>
      </c>
      <c r="M213" s="10" t="n">
        <f aca="false">IF(F213=0,0,ROUND(G213/F213,2))</f>
        <v>0</v>
      </c>
      <c r="N213" s="1" t="str">
        <f aca="false">IF(AND(G213&gt;3000,H213="Approved"),"High-Value Approved",IF(OR(H213="Pending",H213="Unknown"),"Needs Review","Normal"))</f>
        <v>Normal</v>
      </c>
      <c r="O213" s="1" t="str">
        <f aca="false">LEFT(B213,3)</f>
        <v>POL</v>
      </c>
      <c r="P213" s="1" t="str">
        <f aca="false">UPPER(D213)</f>
        <v>PROPERTY</v>
      </c>
      <c r="Q213" s="1" t="n">
        <f aca="true">NETWORKDAYS(C213,TODAY())</f>
        <v>252</v>
      </c>
    </row>
    <row r="214" customFormat="false" ht="15" hidden="false" customHeight="true" outlineLevel="0" collapsed="false">
      <c r="A214" s="1" t="n">
        <v>211</v>
      </c>
      <c r="B214" s="1" t="s">
        <v>235</v>
      </c>
      <c r="C214" s="4" t="n">
        <v>46108</v>
      </c>
      <c r="D214" s="1" t="s">
        <v>40</v>
      </c>
      <c r="E214" s="8" t="n">
        <v>79</v>
      </c>
      <c r="F214" s="9" t="n">
        <v>119.92</v>
      </c>
      <c r="G214" s="9" t="n">
        <v>604.95</v>
      </c>
      <c r="H214" s="1" t="s">
        <v>38</v>
      </c>
      <c r="I214" s="1" t="s">
        <v>321</v>
      </c>
      <c r="J214" s="8" t="n">
        <f aca="false">YEAR(C214)</f>
        <v>2026</v>
      </c>
      <c r="K214" s="1" t="str">
        <f aca="false">TEXT(C214,"mmm-yyyy")</f>
        <v>Mar-2026</v>
      </c>
      <c r="L214" s="1" t="str">
        <f aca="false">_xlfn.IFS(E214&lt;25,"Young (18-24)",E214&lt;=40,"Adult (25-40)",E214&lt;=60,"Mid-Age (41-60)",TRUE(),"Senior (60+)")</f>
        <v>Senior (60+)</v>
      </c>
      <c r="M214" s="10" t="n">
        <f aca="false">IF(F214=0,0,ROUND(G214/F214,2))</f>
        <v>5.04</v>
      </c>
      <c r="N214" s="1" t="str">
        <f aca="false">IF(AND(G214&gt;3000,H214="Approved"),"High-Value Approved",IF(OR(H214="Pending",H214="Unknown"),"Needs Review","Normal"))</f>
        <v>Needs Review</v>
      </c>
      <c r="O214" s="1" t="str">
        <f aca="false">LEFT(B214,3)</f>
        <v>POL</v>
      </c>
      <c r="P214" s="1" t="str">
        <f aca="false">UPPER(D214)</f>
        <v>TRAVEL</v>
      </c>
      <c r="Q214" s="1" t="n">
        <f aca="true">NETWORKDAYS(C214,TODAY())</f>
        <v>108</v>
      </c>
    </row>
    <row r="215" customFormat="false" ht="15" hidden="false" customHeight="true" outlineLevel="0" collapsed="false">
      <c r="A215" s="1" t="n">
        <v>212</v>
      </c>
      <c r="B215" s="1" t="s">
        <v>236</v>
      </c>
      <c r="C215" s="4" t="n">
        <v>45905</v>
      </c>
      <c r="D215" s="1" t="s">
        <v>12</v>
      </c>
      <c r="E215" s="8" t="n">
        <v>67</v>
      </c>
      <c r="F215" s="9" t="n">
        <v>329.82</v>
      </c>
      <c r="G215" s="9" t="n">
        <v>2356.31</v>
      </c>
      <c r="H215" s="1" t="s">
        <v>38</v>
      </c>
      <c r="I215" s="1" t="s">
        <v>321</v>
      </c>
      <c r="J215" s="8" t="n">
        <f aca="false">YEAR(C215)</f>
        <v>2025</v>
      </c>
      <c r="K215" s="1" t="str">
        <f aca="false">TEXT(C215,"mmm-yyyy")</f>
        <v>Sep-2025</v>
      </c>
      <c r="L215" s="1" t="str">
        <f aca="false">_xlfn.IFS(E215&lt;25,"Young (18-24)",E215&lt;=40,"Adult (25-40)",E215&lt;=60,"Mid-Age (41-60)",TRUE(),"Senior (60+)")</f>
        <v>Senior (60+)</v>
      </c>
      <c r="M215" s="10" t="n">
        <f aca="false">IF(F215=0,0,ROUND(G215/F215,2))</f>
        <v>7.14</v>
      </c>
      <c r="N215" s="1" t="str">
        <f aca="false">IF(AND(G215&gt;3000,H215="Approved"),"High-Value Approved",IF(OR(H215="Pending",H215="Unknown"),"Needs Review","Normal"))</f>
        <v>Needs Review</v>
      </c>
      <c r="O215" s="1" t="str">
        <f aca="false">LEFT(B215,3)</f>
        <v>POL</v>
      </c>
      <c r="P215" s="1" t="str">
        <f aca="false">UPPER(D215)</f>
        <v>MOTOR</v>
      </c>
      <c r="Q215" s="1" t="n">
        <f aca="true">NETWORKDAYS(C215,TODAY())</f>
        <v>253</v>
      </c>
    </row>
    <row r="216" customFormat="false" ht="15" hidden="false" customHeight="true" outlineLevel="0" collapsed="false">
      <c r="A216" s="1" t="n">
        <v>213</v>
      </c>
      <c r="B216" s="1" t="s">
        <v>237</v>
      </c>
      <c r="C216" s="4" t="n">
        <v>46012</v>
      </c>
      <c r="D216" s="1" t="s">
        <v>9</v>
      </c>
      <c r="E216" s="8" t="n">
        <v>46</v>
      </c>
      <c r="F216" s="9" t="n">
        <v>343.71</v>
      </c>
      <c r="G216" s="9" t="n">
        <v>0</v>
      </c>
      <c r="H216" s="1" t="s">
        <v>10</v>
      </c>
      <c r="I216" s="1" t="s">
        <v>318</v>
      </c>
      <c r="J216" s="8" t="n">
        <f aca="false">YEAR(C216)</f>
        <v>2025</v>
      </c>
      <c r="K216" s="1" t="str">
        <f aca="false">TEXT(C216,"mmm-yyyy")</f>
        <v>Dec-2025</v>
      </c>
      <c r="L216" s="1" t="str">
        <f aca="false">_xlfn.IFS(E216&lt;25,"Young (18-24)",E216&lt;=40,"Adult (25-40)",E216&lt;=60,"Mid-Age (41-60)",TRUE(),"Senior (60+)")</f>
        <v>Mid-Age (41-60)</v>
      </c>
      <c r="M216" s="10" t="n">
        <f aca="false">IF(F216=0,0,ROUND(G216/F216,2))</f>
        <v>0</v>
      </c>
      <c r="N216" s="1" t="str">
        <f aca="false">IF(AND(G216&gt;3000,H216="Approved"),"High-Value Approved",IF(OR(H216="Pending",H216="Unknown"),"Needs Review","Normal"))</f>
        <v>Normal</v>
      </c>
      <c r="O216" s="1" t="str">
        <f aca="false">LEFT(B216,3)</f>
        <v>POL</v>
      </c>
      <c r="P216" s="1" t="str">
        <f aca="false">UPPER(D216)</f>
        <v>LIFE</v>
      </c>
      <c r="Q216" s="1" t="n">
        <f aca="true">NETWORKDAYS(C216,TODAY())</f>
        <v>177</v>
      </c>
    </row>
    <row r="217" customFormat="false" ht="15" hidden="false" customHeight="true" outlineLevel="0" collapsed="false">
      <c r="A217" s="1" t="n">
        <v>214</v>
      </c>
      <c r="B217" s="1" t="s">
        <v>238</v>
      </c>
      <c r="C217" s="4" t="n">
        <v>45805</v>
      </c>
      <c r="D217" s="1" t="s">
        <v>12</v>
      </c>
      <c r="E217" s="8" t="n">
        <v>28</v>
      </c>
      <c r="F217" s="9" t="n">
        <v>217.24</v>
      </c>
      <c r="G217" s="9" t="n">
        <v>0</v>
      </c>
      <c r="H217" s="1" t="s">
        <v>10</v>
      </c>
      <c r="I217" s="1" t="s">
        <v>318</v>
      </c>
      <c r="J217" s="8" t="n">
        <f aca="false">YEAR(C217)</f>
        <v>2025</v>
      </c>
      <c r="K217" s="1" t="str">
        <f aca="false">TEXT(C217,"mmm-yyyy")</f>
        <v>May-2025</v>
      </c>
      <c r="L217" s="1" t="str">
        <f aca="false">_xlfn.IFS(E217&lt;25,"Young (18-24)",E217&lt;=40,"Adult (25-40)",E217&lt;=60,"Mid-Age (41-60)",TRUE(),"Senior (60+)")</f>
        <v>Adult (25-40)</v>
      </c>
      <c r="M217" s="10" t="n">
        <f aca="false">IF(F217=0,0,ROUND(G217/F217,2))</f>
        <v>0</v>
      </c>
      <c r="N217" s="1" t="str">
        <f aca="false">IF(AND(G217&gt;3000,H217="Approved"),"High-Value Approved",IF(OR(H217="Pending",H217="Unknown"),"Needs Review","Normal"))</f>
        <v>Normal</v>
      </c>
      <c r="O217" s="1" t="str">
        <f aca="false">LEFT(B217,3)</f>
        <v>POL</v>
      </c>
      <c r="P217" s="1" t="str">
        <f aca="false">UPPER(D217)</f>
        <v>MOTOR</v>
      </c>
      <c r="Q217" s="1" t="n">
        <f aca="true">NETWORKDAYS(C217,TODAY())</f>
        <v>325</v>
      </c>
    </row>
    <row r="218" customFormat="false" ht="15" hidden="false" customHeight="true" outlineLevel="0" collapsed="false">
      <c r="A218" s="1" t="n">
        <v>215</v>
      </c>
      <c r="B218" s="1" t="s">
        <v>239</v>
      </c>
      <c r="C218" s="4" t="n">
        <v>45753</v>
      </c>
      <c r="D218" s="1" t="s">
        <v>19</v>
      </c>
      <c r="E218" s="8" t="n">
        <v>51</v>
      </c>
      <c r="F218" s="9" t="n">
        <v>303.31</v>
      </c>
      <c r="G218" s="9" t="n">
        <v>0</v>
      </c>
      <c r="H218" s="1" t="s">
        <v>10</v>
      </c>
      <c r="I218" s="1" t="s">
        <v>318</v>
      </c>
      <c r="J218" s="8" t="n">
        <f aca="false">YEAR(C218)</f>
        <v>2025</v>
      </c>
      <c r="K218" s="1" t="str">
        <f aca="false">TEXT(C218,"mmm-yyyy")</f>
        <v>Apr-2025</v>
      </c>
      <c r="L218" s="1" t="str">
        <f aca="false">_xlfn.IFS(E218&lt;25,"Young (18-24)",E218&lt;=40,"Adult (25-40)",E218&lt;=60,"Mid-Age (41-60)",TRUE(),"Senior (60+)")</f>
        <v>Mid-Age (41-60)</v>
      </c>
      <c r="M218" s="10" t="n">
        <f aca="false">IF(F218=0,0,ROUND(G218/F218,2))</f>
        <v>0</v>
      </c>
      <c r="N218" s="1" t="str">
        <f aca="false">IF(AND(G218&gt;3000,H218="Approved"),"High-Value Approved",IF(OR(H218="Pending",H218="Unknown"),"Needs Review","Normal"))</f>
        <v>Normal</v>
      </c>
      <c r="O218" s="1" t="str">
        <f aca="false">LEFT(B218,3)</f>
        <v>POL</v>
      </c>
      <c r="P218" s="1" t="str">
        <f aca="false">UPPER(D218)</f>
        <v>HEALTH</v>
      </c>
      <c r="Q218" s="1" t="n">
        <f aca="true">NETWORKDAYS(C218,TODAY())</f>
        <v>362</v>
      </c>
    </row>
    <row r="219" customFormat="false" ht="15" hidden="false" customHeight="true" outlineLevel="0" collapsed="false">
      <c r="A219" s="1" t="n">
        <v>216</v>
      </c>
      <c r="B219" s="1" t="s">
        <v>240</v>
      </c>
      <c r="C219" s="4" t="n">
        <v>46107</v>
      </c>
      <c r="D219" s="1" t="s">
        <v>19</v>
      </c>
      <c r="E219" s="8" t="n">
        <v>37</v>
      </c>
      <c r="F219" s="9" t="n">
        <v>310.33</v>
      </c>
      <c r="G219" s="9" t="n">
        <v>1618.29</v>
      </c>
      <c r="H219" s="1" t="s">
        <v>38</v>
      </c>
      <c r="I219" s="1" t="s">
        <v>324</v>
      </c>
      <c r="J219" s="8" t="n">
        <f aca="false">YEAR(C219)</f>
        <v>2026</v>
      </c>
      <c r="K219" s="1" t="str">
        <f aca="false">TEXT(C219,"mmm-yyyy")</f>
        <v>Mar-2026</v>
      </c>
      <c r="L219" s="1" t="str">
        <f aca="false">_xlfn.IFS(E219&lt;25,"Young (18-24)",E219&lt;=40,"Adult (25-40)",E219&lt;=60,"Mid-Age (41-60)",TRUE(),"Senior (60+)")</f>
        <v>Adult (25-40)</v>
      </c>
      <c r="M219" s="10" t="n">
        <f aca="false">IF(F219=0,0,ROUND(G219/F219,2))</f>
        <v>5.21</v>
      </c>
      <c r="N219" s="1" t="str">
        <f aca="false">IF(AND(G219&gt;3000,H219="Approved"),"High-Value Approved",IF(OR(H219="Pending",H219="Unknown"),"Needs Review","Normal"))</f>
        <v>Needs Review</v>
      </c>
      <c r="O219" s="1" t="str">
        <f aca="false">LEFT(B219,3)</f>
        <v>POL</v>
      </c>
      <c r="P219" s="1" t="str">
        <f aca="false">UPPER(D219)</f>
        <v>HEALTH</v>
      </c>
      <c r="Q219" s="1" t="n">
        <f aca="true">NETWORKDAYS(C219,TODAY())</f>
        <v>109</v>
      </c>
    </row>
    <row r="220" customFormat="false" ht="15" hidden="false" customHeight="true" outlineLevel="0" collapsed="false">
      <c r="A220" s="1" t="n">
        <v>217</v>
      </c>
      <c r="B220" s="1" t="s">
        <v>241</v>
      </c>
      <c r="C220" s="4" t="n">
        <v>45672</v>
      </c>
      <c r="D220" s="1" t="s">
        <v>12</v>
      </c>
      <c r="E220" s="8" t="n">
        <v>54</v>
      </c>
      <c r="F220" s="9" t="n">
        <v>226.52</v>
      </c>
      <c r="G220" s="9" t="n">
        <v>0</v>
      </c>
      <c r="H220" s="1" t="s">
        <v>10</v>
      </c>
      <c r="I220" s="1" t="s">
        <v>318</v>
      </c>
      <c r="J220" s="8" t="n">
        <f aca="false">YEAR(C220)</f>
        <v>2025</v>
      </c>
      <c r="K220" s="1" t="str">
        <f aca="false">TEXT(C220,"mmm-yyyy")</f>
        <v>Jan-2025</v>
      </c>
      <c r="L220" s="1" t="str">
        <f aca="false">_xlfn.IFS(E220&lt;25,"Young (18-24)",E220&lt;=40,"Adult (25-40)",E220&lt;=60,"Mid-Age (41-60)",TRUE(),"Senior (60+)")</f>
        <v>Mid-Age (41-60)</v>
      </c>
      <c r="M220" s="10" t="n">
        <f aca="false">IF(F220=0,0,ROUND(G220/F220,2))</f>
        <v>0</v>
      </c>
      <c r="N220" s="1" t="str">
        <f aca="false">IF(AND(G220&gt;3000,H220="Approved"),"High-Value Approved",IF(OR(H220="Pending",H220="Unknown"),"Needs Review","Normal"))</f>
        <v>Normal</v>
      </c>
      <c r="O220" s="1" t="str">
        <f aca="false">LEFT(B220,3)</f>
        <v>POL</v>
      </c>
      <c r="P220" s="1" t="str">
        <f aca="false">UPPER(D220)</f>
        <v>MOTOR</v>
      </c>
      <c r="Q220" s="1" t="n">
        <f aca="true">NETWORKDAYS(C220,TODAY())</f>
        <v>420</v>
      </c>
    </row>
    <row r="221" customFormat="false" ht="15" hidden="false" customHeight="true" outlineLevel="0" collapsed="false">
      <c r="A221" s="1" t="n">
        <v>218</v>
      </c>
      <c r="B221" s="1" t="s">
        <v>242</v>
      </c>
      <c r="C221" s="4" t="n">
        <v>45939</v>
      </c>
      <c r="D221" s="1" t="s">
        <v>12</v>
      </c>
      <c r="E221" s="8" t="n">
        <v>51</v>
      </c>
      <c r="F221" s="9" t="n">
        <v>349.38</v>
      </c>
      <c r="G221" s="9" t="n">
        <v>1106.11</v>
      </c>
      <c r="H221" s="1" t="s">
        <v>17</v>
      </c>
      <c r="I221" s="1" t="s">
        <v>316</v>
      </c>
      <c r="J221" s="8" t="n">
        <f aca="false">YEAR(C221)</f>
        <v>2025</v>
      </c>
      <c r="K221" s="1" t="str">
        <f aca="false">TEXT(C221,"mmm-yyyy")</f>
        <v>Oct-2025</v>
      </c>
      <c r="L221" s="1" t="str">
        <f aca="false">_xlfn.IFS(E221&lt;25,"Young (18-24)",E221&lt;=40,"Adult (25-40)",E221&lt;=60,"Mid-Age (41-60)",TRUE(),"Senior (60+)")</f>
        <v>Mid-Age (41-60)</v>
      </c>
      <c r="M221" s="10" t="n">
        <f aca="false">IF(F221=0,0,ROUND(G221/F221,2))</f>
        <v>3.17</v>
      </c>
      <c r="N221" s="1" t="str">
        <f aca="false">IF(AND(G221&gt;3000,H221="Approved"),"High-Value Approved",IF(OR(H221="Pending",H221="Unknown"),"Needs Review","Normal"))</f>
        <v>Normal</v>
      </c>
      <c r="O221" s="1" t="str">
        <f aca="false">LEFT(B221,3)</f>
        <v>POL</v>
      </c>
      <c r="P221" s="1" t="str">
        <f aca="false">UPPER(D221)</f>
        <v>MOTOR</v>
      </c>
      <c r="Q221" s="1" t="n">
        <f aca="true">NETWORKDAYS(C221,TODAY())</f>
        <v>229</v>
      </c>
    </row>
    <row r="222" customFormat="false" ht="15" hidden="false" customHeight="true" outlineLevel="0" collapsed="false">
      <c r="A222" s="1" t="n">
        <v>219</v>
      </c>
      <c r="B222" s="1" t="s">
        <v>243</v>
      </c>
      <c r="C222" s="4" t="n">
        <v>45711</v>
      </c>
      <c r="D222" s="1" t="s">
        <v>19</v>
      </c>
      <c r="E222" s="8" t="n">
        <v>46</v>
      </c>
      <c r="F222" s="9" t="n">
        <v>430.05</v>
      </c>
      <c r="G222" s="9" t="n">
        <v>3006.35</v>
      </c>
      <c r="H222" s="1" t="s">
        <v>17</v>
      </c>
      <c r="I222" s="1" t="s">
        <v>319</v>
      </c>
      <c r="J222" s="8" t="n">
        <f aca="false">YEAR(C222)</f>
        <v>2025</v>
      </c>
      <c r="K222" s="1" t="str">
        <f aca="false">TEXT(C222,"mmm-yyyy")</f>
        <v>Feb-2025</v>
      </c>
      <c r="L222" s="1" t="str">
        <f aca="false">_xlfn.IFS(E222&lt;25,"Young (18-24)",E222&lt;=40,"Adult (25-40)",E222&lt;=60,"Mid-Age (41-60)",TRUE(),"Senior (60+)")</f>
        <v>Mid-Age (41-60)</v>
      </c>
      <c r="M222" s="10" t="n">
        <f aca="false">IF(F222=0,0,ROUND(G222/F222,2))</f>
        <v>6.99</v>
      </c>
      <c r="N222" s="1" t="str">
        <f aca="false">IF(AND(G222&gt;3000,H222="Approved"),"High-Value Approved",IF(OR(H222="Pending",H222="Unknown"),"Needs Review","Normal"))</f>
        <v>High-Value Approved</v>
      </c>
      <c r="O222" s="1" t="str">
        <f aca="false">LEFT(B222,3)</f>
        <v>POL</v>
      </c>
      <c r="P222" s="1" t="str">
        <f aca="false">UPPER(D222)</f>
        <v>HEALTH</v>
      </c>
      <c r="Q222" s="1" t="n">
        <f aca="true">NETWORKDAYS(C222,TODAY())</f>
        <v>392</v>
      </c>
    </row>
    <row r="223" customFormat="false" ht="15" hidden="false" customHeight="true" outlineLevel="0" collapsed="false">
      <c r="A223" s="1" t="n">
        <v>220</v>
      </c>
      <c r="B223" s="1" t="s">
        <v>245</v>
      </c>
      <c r="C223" s="4" t="n">
        <v>45960</v>
      </c>
      <c r="D223" s="1" t="s">
        <v>40</v>
      </c>
      <c r="E223" s="8" t="n">
        <v>30</v>
      </c>
      <c r="F223" s="9" t="n">
        <v>107.14</v>
      </c>
      <c r="G223" s="9" t="n">
        <v>0</v>
      </c>
      <c r="H223" s="1" t="s">
        <v>10</v>
      </c>
      <c r="I223" s="1" t="s">
        <v>318</v>
      </c>
      <c r="J223" s="8" t="n">
        <f aca="false">YEAR(C223)</f>
        <v>2025</v>
      </c>
      <c r="K223" s="1" t="str">
        <f aca="false">TEXT(C223,"mmm-yyyy")</f>
        <v>Oct-2025</v>
      </c>
      <c r="L223" s="1" t="str">
        <f aca="false">_xlfn.IFS(E223&lt;25,"Young (18-24)",E223&lt;=40,"Adult (25-40)",E223&lt;=60,"Mid-Age (41-60)",TRUE(),"Senior (60+)")</f>
        <v>Adult (25-40)</v>
      </c>
      <c r="M223" s="10" t="n">
        <f aca="false">IF(F223=0,0,ROUND(G223/F223,2))</f>
        <v>0</v>
      </c>
      <c r="N223" s="1" t="str">
        <f aca="false">IF(AND(G223&gt;3000,H223="Approved"),"High-Value Approved",IF(OR(H223="Pending",H223="Unknown"),"Needs Review","Normal"))</f>
        <v>Normal</v>
      </c>
      <c r="O223" s="1" t="str">
        <f aca="false">LEFT(B223,3)</f>
        <v>POL</v>
      </c>
      <c r="P223" s="1" t="str">
        <f aca="false">UPPER(D223)</f>
        <v>TRAVEL</v>
      </c>
      <c r="Q223" s="1" t="n">
        <f aca="true">NETWORKDAYS(C223,TODAY())</f>
        <v>214</v>
      </c>
    </row>
    <row r="224" customFormat="false" ht="15" hidden="false" customHeight="true" outlineLevel="0" collapsed="false">
      <c r="A224" s="1" t="n">
        <v>221</v>
      </c>
      <c r="B224" s="1" t="s">
        <v>246</v>
      </c>
      <c r="C224" s="4" t="n">
        <v>45803</v>
      </c>
      <c r="D224" s="1" t="s">
        <v>19</v>
      </c>
      <c r="E224" s="8" t="n">
        <v>70</v>
      </c>
      <c r="F224" s="9" t="n">
        <v>365.7</v>
      </c>
      <c r="G224" s="9" t="n">
        <v>2247.67</v>
      </c>
      <c r="H224" s="1" t="s">
        <v>13</v>
      </c>
      <c r="I224" s="1" t="s">
        <v>318</v>
      </c>
      <c r="J224" s="8" t="n">
        <f aca="false">YEAR(C224)</f>
        <v>2025</v>
      </c>
      <c r="K224" s="1" t="str">
        <f aca="false">TEXT(C224,"mmm-yyyy")</f>
        <v>May-2025</v>
      </c>
      <c r="L224" s="1" t="str">
        <f aca="false">_xlfn.IFS(E224&lt;25,"Young (18-24)",E224&lt;=40,"Adult (25-40)",E224&lt;=60,"Mid-Age (41-60)",TRUE(),"Senior (60+)")</f>
        <v>Senior (60+)</v>
      </c>
      <c r="M224" s="10" t="n">
        <f aca="false">IF(F224=0,0,ROUND(G224/F224,2))</f>
        <v>6.15</v>
      </c>
      <c r="N224" s="1" t="str">
        <f aca="false">IF(AND(G224&gt;3000,H224="Approved"),"High-Value Approved",IF(OR(H224="Pending",H224="Unknown"),"Needs Review","Normal"))</f>
        <v>Needs Review</v>
      </c>
      <c r="O224" s="1" t="str">
        <f aca="false">LEFT(B224,3)</f>
        <v>POL</v>
      </c>
      <c r="P224" s="1" t="str">
        <f aca="false">UPPER(D224)</f>
        <v>HEALTH</v>
      </c>
      <c r="Q224" s="1" t="n">
        <f aca="true">NETWORKDAYS(C224,TODAY())</f>
        <v>327</v>
      </c>
    </row>
    <row r="225" customFormat="false" ht="15" hidden="false" customHeight="true" outlineLevel="0" collapsed="false">
      <c r="A225" s="1" t="n">
        <v>222</v>
      </c>
      <c r="B225" s="1" t="s">
        <v>247</v>
      </c>
      <c r="C225" s="4" t="n">
        <v>46140</v>
      </c>
      <c r="D225" s="1" t="s">
        <v>9</v>
      </c>
      <c r="E225" s="8" t="n">
        <v>71</v>
      </c>
      <c r="F225" s="9" t="n">
        <v>321.7</v>
      </c>
      <c r="G225" s="9" t="n">
        <v>0</v>
      </c>
      <c r="H225" s="1" t="s">
        <v>10</v>
      </c>
      <c r="I225" s="1" t="s">
        <v>318</v>
      </c>
      <c r="J225" s="8" t="n">
        <f aca="false">YEAR(C225)</f>
        <v>2026</v>
      </c>
      <c r="K225" s="1" t="str">
        <f aca="false">TEXT(C225,"mmm-yyyy")</f>
        <v>Apr-2026</v>
      </c>
      <c r="L225" s="1" t="str">
        <f aca="false">_xlfn.IFS(E225&lt;25,"Young (18-24)",E225&lt;=40,"Adult (25-40)",E225&lt;=60,"Mid-Age (41-60)",TRUE(),"Senior (60+)")</f>
        <v>Senior (60+)</v>
      </c>
      <c r="M225" s="10" t="n">
        <f aca="false">IF(F225=0,0,ROUND(G225/F225,2))</f>
        <v>0</v>
      </c>
      <c r="N225" s="1" t="str">
        <f aca="false">IF(AND(G225&gt;3000,H225="Approved"),"High-Value Approved",IF(OR(H225="Pending",H225="Unknown"),"Needs Review","Normal"))</f>
        <v>Normal</v>
      </c>
      <c r="O225" s="1" t="str">
        <f aca="false">LEFT(B225,3)</f>
        <v>POL</v>
      </c>
      <c r="P225" s="1" t="str">
        <f aca="false">UPPER(D225)</f>
        <v>LIFE</v>
      </c>
      <c r="Q225" s="1" t="n">
        <f aca="true">NETWORKDAYS(C225,TODAY())</f>
        <v>86</v>
      </c>
    </row>
    <row r="226" customFormat="false" ht="15" hidden="false" customHeight="true" outlineLevel="0" collapsed="false">
      <c r="A226" s="1" t="n">
        <v>223</v>
      </c>
      <c r="B226" s="1" t="s">
        <v>248</v>
      </c>
      <c r="C226" s="4" t="n">
        <v>46175</v>
      </c>
      <c r="D226" s="1" t="s">
        <v>9</v>
      </c>
      <c r="E226" s="8" t="n">
        <v>42</v>
      </c>
      <c r="F226" s="9" t="n">
        <v>362.48</v>
      </c>
      <c r="G226" s="9" t="n">
        <v>0</v>
      </c>
      <c r="H226" s="1" t="s">
        <v>10</v>
      </c>
      <c r="I226" s="1" t="s">
        <v>318</v>
      </c>
      <c r="J226" s="8" t="n">
        <f aca="false">YEAR(C226)</f>
        <v>2026</v>
      </c>
      <c r="K226" s="1" t="str">
        <f aca="false">TEXT(C226,"mmm-yyyy")</f>
        <v>Jun-2026</v>
      </c>
      <c r="L226" s="1" t="str">
        <f aca="false">_xlfn.IFS(E226&lt;25,"Young (18-24)",E226&lt;=40,"Adult (25-40)",E226&lt;=60,"Mid-Age (41-60)",TRUE(),"Senior (60+)")</f>
        <v>Mid-Age (41-60)</v>
      </c>
      <c r="M226" s="10" t="n">
        <f aca="false">IF(F226=0,0,ROUND(G226/F226,2))</f>
        <v>0</v>
      </c>
      <c r="N226" s="1" t="str">
        <f aca="false">IF(AND(G226&gt;3000,H226="Approved"),"High-Value Approved",IF(OR(H226="Pending",H226="Unknown"),"Needs Review","Normal"))</f>
        <v>Normal</v>
      </c>
      <c r="O226" s="1" t="str">
        <f aca="false">LEFT(B226,3)</f>
        <v>POL</v>
      </c>
      <c r="P226" s="1" t="str">
        <f aca="false">UPPER(D226)</f>
        <v>LIFE</v>
      </c>
      <c r="Q226" s="1" t="n">
        <f aca="true">NETWORKDAYS(C226,TODAY())</f>
        <v>61</v>
      </c>
    </row>
    <row r="227" customFormat="false" ht="15" hidden="false" customHeight="true" outlineLevel="0" collapsed="false">
      <c r="A227" s="1" t="n">
        <v>224</v>
      </c>
      <c r="B227" s="1" t="s">
        <v>249</v>
      </c>
      <c r="C227" s="4" t="n">
        <v>45764</v>
      </c>
      <c r="D227" s="1" t="s">
        <v>16</v>
      </c>
      <c r="E227" s="8" t="n">
        <v>19</v>
      </c>
      <c r="F227" s="9" t="n">
        <v>453.01</v>
      </c>
      <c r="G227" s="9" t="n">
        <v>0</v>
      </c>
      <c r="H227" s="1" t="s">
        <v>10</v>
      </c>
      <c r="I227" s="1" t="s">
        <v>318</v>
      </c>
      <c r="J227" s="8" t="n">
        <f aca="false">YEAR(C227)</f>
        <v>2025</v>
      </c>
      <c r="K227" s="1" t="str">
        <f aca="false">TEXT(C227,"mmm-yyyy")</f>
        <v>Apr-2025</v>
      </c>
      <c r="L227" s="1" t="str">
        <f aca="false">_xlfn.IFS(E227&lt;25,"Young (18-24)",E227&lt;=40,"Adult (25-40)",E227&lt;=60,"Mid-Age (41-60)",TRUE(),"Senior (60+)")</f>
        <v>Young (18-24)</v>
      </c>
      <c r="M227" s="10" t="n">
        <f aca="false">IF(F227=0,0,ROUND(G227/F227,2))</f>
        <v>0</v>
      </c>
      <c r="N227" s="1" t="str">
        <f aca="false">IF(AND(G227&gt;3000,H227="Approved"),"High-Value Approved",IF(OR(H227="Pending",H227="Unknown"),"Needs Review","Normal"))</f>
        <v>Normal</v>
      </c>
      <c r="O227" s="1" t="str">
        <f aca="false">LEFT(B227,3)</f>
        <v>POL</v>
      </c>
      <c r="P227" s="1" t="str">
        <f aca="false">UPPER(D227)</f>
        <v>PROPERTY</v>
      </c>
      <c r="Q227" s="1" t="n">
        <f aca="true">NETWORKDAYS(C227,TODAY())</f>
        <v>354</v>
      </c>
    </row>
    <row r="228" customFormat="false" ht="15" hidden="false" customHeight="true" outlineLevel="0" collapsed="false">
      <c r="A228" s="1" t="n">
        <v>225</v>
      </c>
      <c r="B228" s="1" t="s">
        <v>250</v>
      </c>
      <c r="C228" s="4" t="n">
        <v>45939</v>
      </c>
      <c r="D228" s="1" t="s">
        <v>40</v>
      </c>
      <c r="E228" s="8" t="n">
        <v>62</v>
      </c>
      <c r="F228" s="9" t="n">
        <v>82.95</v>
      </c>
      <c r="G228" s="9" t="n">
        <v>392.84</v>
      </c>
      <c r="H228" s="1" t="s">
        <v>30</v>
      </c>
      <c r="I228" s="1" t="s">
        <v>316</v>
      </c>
      <c r="J228" s="8" t="n">
        <f aca="false">YEAR(C228)</f>
        <v>2025</v>
      </c>
      <c r="K228" s="1" t="str">
        <f aca="false">TEXT(C228,"mmm-yyyy")</f>
        <v>Oct-2025</v>
      </c>
      <c r="L228" s="1" t="str">
        <f aca="false">_xlfn.IFS(E228&lt;25,"Young (18-24)",E228&lt;=40,"Adult (25-40)",E228&lt;=60,"Mid-Age (41-60)",TRUE(),"Senior (60+)")</f>
        <v>Senior (60+)</v>
      </c>
      <c r="M228" s="10" t="n">
        <f aca="false">IF(F228=0,0,ROUND(G228/F228,2))</f>
        <v>4.74</v>
      </c>
      <c r="N228" s="1" t="str">
        <f aca="false">IF(AND(G228&gt;3000,H228="Approved"),"High-Value Approved",IF(OR(H228="Pending",H228="Unknown"),"Needs Review","Normal"))</f>
        <v>Normal</v>
      </c>
      <c r="O228" s="1" t="str">
        <f aca="false">LEFT(B228,3)</f>
        <v>POL</v>
      </c>
      <c r="P228" s="1" t="str">
        <f aca="false">UPPER(D228)</f>
        <v>TRAVEL</v>
      </c>
      <c r="Q228" s="1" t="n">
        <f aca="true">NETWORKDAYS(C228,TODAY())</f>
        <v>229</v>
      </c>
    </row>
    <row r="229" customFormat="false" ht="15" hidden="false" customHeight="true" outlineLevel="0" collapsed="false">
      <c r="A229" s="1" t="n">
        <v>226</v>
      </c>
      <c r="B229" s="1" t="s">
        <v>251</v>
      </c>
      <c r="C229" s="4" t="n">
        <v>45939</v>
      </c>
      <c r="D229" s="1" t="s">
        <v>16</v>
      </c>
      <c r="E229" s="8" t="n">
        <v>65</v>
      </c>
      <c r="F229" s="9" t="n">
        <v>431.88</v>
      </c>
      <c r="G229" s="9" t="n">
        <v>0</v>
      </c>
      <c r="H229" s="1" t="s">
        <v>10</v>
      </c>
      <c r="I229" s="1" t="s">
        <v>316</v>
      </c>
      <c r="J229" s="8" t="n">
        <f aca="false">YEAR(C229)</f>
        <v>2025</v>
      </c>
      <c r="K229" s="1" t="str">
        <f aca="false">TEXT(C229,"mmm-yyyy")</f>
        <v>Oct-2025</v>
      </c>
      <c r="L229" s="1" t="str">
        <f aca="false">_xlfn.IFS(E229&lt;25,"Young (18-24)",E229&lt;=40,"Adult (25-40)",E229&lt;=60,"Mid-Age (41-60)",TRUE(),"Senior (60+)")</f>
        <v>Senior (60+)</v>
      </c>
      <c r="M229" s="10" t="n">
        <f aca="false">IF(F229=0,0,ROUND(G229/F229,2))</f>
        <v>0</v>
      </c>
      <c r="N229" s="1" t="str">
        <f aca="false">IF(AND(G229&gt;3000,H229="Approved"),"High-Value Approved",IF(OR(H229="Pending",H229="Unknown"),"Needs Review","Normal"))</f>
        <v>Normal</v>
      </c>
      <c r="O229" s="1" t="str">
        <f aca="false">LEFT(B229,3)</f>
        <v>POL</v>
      </c>
      <c r="P229" s="1" t="str">
        <f aca="false">UPPER(D229)</f>
        <v>PROPERTY</v>
      </c>
      <c r="Q229" s="1" t="n">
        <f aca="true">NETWORKDAYS(C229,TODAY())</f>
        <v>229</v>
      </c>
    </row>
    <row r="230" customFormat="false" ht="15" hidden="false" customHeight="true" outlineLevel="0" collapsed="false">
      <c r="A230" s="1" t="n">
        <v>227</v>
      </c>
      <c r="B230" s="1" t="s">
        <v>252</v>
      </c>
      <c r="C230" s="4" t="n">
        <v>46063</v>
      </c>
      <c r="D230" s="1" t="s">
        <v>9</v>
      </c>
      <c r="E230" s="8" t="n">
        <v>19</v>
      </c>
      <c r="F230" s="9" t="n">
        <v>343.27</v>
      </c>
      <c r="G230" s="9" t="n">
        <v>0</v>
      </c>
      <c r="H230" s="1" t="s">
        <v>10</v>
      </c>
      <c r="I230" s="1" t="s">
        <v>318</v>
      </c>
      <c r="J230" s="8" t="n">
        <f aca="false">YEAR(C230)</f>
        <v>2026</v>
      </c>
      <c r="K230" s="1" t="str">
        <f aca="false">TEXT(C230,"mmm-yyyy")</f>
        <v>Feb-2026</v>
      </c>
      <c r="L230" s="1" t="str">
        <f aca="false">_xlfn.IFS(E230&lt;25,"Young (18-24)",E230&lt;=40,"Adult (25-40)",E230&lt;=60,"Mid-Age (41-60)",TRUE(),"Senior (60+)")</f>
        <v>Young (18-24)</v>
      </c>
      <c r="M230" s="10" t="n">
        <f aca="false">IF(F230=0,0,ROUND(G230/F230,2))</f>
        <v>0</v>
      </c>
      <c r="N230" s="1" t="str">
        <f aca="false">IF(AND(G230&gt;3000,H230="Approved"),"High-Value Approved",IF(OR(H230="Pending",H230="Unknown"),"Needs Review","Normal"))</f>
        <v>Normal</v>
      </c>
      <c r="O230" s="1" t="str">
        <f aca="false">LEFT(B230,3)</f>
        <v>POL</v>
      </c>
      <c r="P230" s="1" t="str">
        <f aca="false">UPPER(D230)</f>
        <v>LIFE</v>
      </c>
      <c r="Q230" s="1" t="n">
        <f aca="true">NETWORKDAYS(C230,TODAY())</f>
        <v>141</v>
      </c>
    </row>
    <row r="231" customFormat="false" ht="15" hidden="false" customHeight="true" outlineLevel="0" collapsed="false">
      <c r="A231" s="1" t="n">
        <v>228</v>
      </c>
      <c r="B231" s="1" t="s">
        <v>253</v>
      </c>
      <c r="C231" s="4" t="n">
        <v>46039</v>
      </c>
      <c r="D231" s="1" t="s">
        <v>9</v>
      </c>
      <c r="E231" s="8" t="n">
        <v>51</v>
      </c>
      <c r="F231" s="9" t="n">
        <v>413.02</v>
      </c>
      <c r="G231" s="9" t="n">
        <v>0</v>
      </c>
      <c r="H231" s="1" t="s">
        <v>10</v>
      </c>
      <c r="I231" s="1" t="s">
        <v>320</v>
      </c>
      <c r="J231" s="8" t="n">
        <f aca="false">YEAR(C231)</f>
        <v>2026</v>
      </c>
      <c r="K231" s="1" t="str">
        <f aca="false">TEXT(C231,"mmm-yyyy")</f>
        <v>Jan-2026</v>
      </c>
      <c r="L231" s="1" t="str">
        <f aca="false">_xlfn.IFS(E231&lt;25,"Young (18-24)",E231&lt;=40,"Adult (25-40)",E231&lt;=60,"Mid-Age (41-60)",TRUE(),"Senior (60+)")</f>
        <v>Mid-Age (41-60)</v>
      </c>
      <c r="M231" s="10" t="n">
        <f aca="false">IF(F231=0,0,ROUND(G231/F231,2))</f>
        <v>0</v>
      </c>
      <c r="N231" s="1" t="str">
        <f aca="false">IF(AND(G231&gt;3000,H231="Approved"),"High-Value Approved",IF(OR(H231="Pending",H231="Unknown"),"Needs Review","Normal"))</f>
        <v>Normal</v>
      </c>
      <c r="O231" s="1" t="str">
        <f aca="false">LEFT(B231,3)</f>
        <v>POL</v>
      </c>
      <c r="P231" s="1" t="str">
        <f aca="false">UPPER(D231)</f>
        <v>LIFE</v>
      </c>
      <c r="Q231" s="1" t="n">
        <f aca="true">NETWORKDAYS(C231,TODAY())</f>
        <v>157</v>
      </c>
    </row>
    <row r="232" customFormat="false" ht="15" hidden="false" customHeight="true" outlineLevel="0" collapsed="false">
      <c r="A232" s="1" t="n">
        <v>229</v>
      </c>
      <c r="B232" s="1" t="s">
        <v>254</v>
      </c>
      <c r="C232" s="4" t="n">
        <v>45867</v>
      </c>
      <c r="D232" s="1" t="s">
        <v>12</v>
      </c>
      <c r="E232" s="8" t="n">
        <v>58</v>
      </c>
      <c r="F232" s="9" t="n">
        <v>325.07</v>
      </c>
      <c r="G232" s="9" t="n">
        <v>0</v>
      </c>
      <c r="H232" s="1" t="s">
        <v>38</v>
      </c>
      <c r="I232" s="1" t="s">
        <v>321</v>
      </c>
      <c r="J232" s="8" t="n">
        <f aca="false">YEAR(C232)</f>
        <v>2025</v>
      </c>
      <c r="K232" s="1" t="str">
        <f aca="false">TEXT(C232,"mmm-yyyy")</f>
        <v>Jul-2025</v>
      </c>
      <c r="L232" s="1" t="str">
        <f aca="false">_xlfn.IFS(E232&lt;25,"Young (18-24)",E232&lt;=40,"Adult (25-40)",E232&lt;=60,"Mid-Age (41-60)",TRUE(),"Senior (60+)")</f>
        <v>Mid-Age (41-60)</v>
      </c>
      <c r="M232" s="10" t="n">
        <f aca="false">IF(F232=0,0,ROUND(G232/F232,2))</f>
        <v>0</v>
      </c>
      <c r="N232" s="1" t="str">
        <f aca="false">IF(AND(G232&gt;3000,H232="Approved"),"High-Value Approved",IF(OR(H232="Pending",H232="Unknown"),"Needs Review","Normal"))</f>
        <v>Needs Review</v>
      </c>
      <c r="O232" s="1" t="str">
        <f aca="false">LEFT(B232,3)</f>
        <v>POL</v>
      </c>
      <c r="P232" s="1" t="str">
        <f aca="false">UPPER(D232)</f>
        <v>MOTOR</v>
      </c>
      <c r="Q232" s="1" t="n">
        <f aca="true">NETWORKDAYS(C232,TODAY())</f>
        <v>281</v>
      </c>
    </row>
    <row r="233" customFormat="false" ht="15" hidden="false" customHeight="true" outlineLevel="0" collapsed="false">
      <c r="A233" s="1" t="n">
        <v>230</v>
      </c>
      <c r="B233" s="1" t="s">
        <v>255</v>
      </c>
      <c r="C233" s="4" t="n">
        <v>45742</v>
      </c>
      <c r="D233" s="1" t="s">
        <v>16</v>
      </c>
      <c r="E233" s="8" t="n">
        <v>77</v>
      </c>
      <c r="F233" s="9" t="n">
        <v>413.96</v>
      </c>
      <c r="G233" s="9" t="n">
        <v>0</v>
      </c>
      <c r="H233" s="1" t="s">
        <v>10</v>
      </c>
      <c r="I233" s="1" t="s">
        <v>318</v>
      </c>
      <c r="J233" s="8" t="n">
        <f aca="false">YEAR(C233)</f>
        <v>2025</v>
      </c>
      <c r="K233" s="1" t="str">
        <f aca="false">TEXT(C233,"mmm-yyyy")</f>
        <v>Mar-2025</v>
      </c>
      <c r="L233" s="1" t="str">
        <f aca="false">_xlfn.IFS(E233&lt;25,"Young (18-24)",E233&lt;=40,"Adult (25-40)",E233&lt;=60,"Mid-Age (41-60)",TRUE(),"Senior (60+)")</f>
        <v>Senior (60+)</v>
      </c>
      <c r="M233" s="10" t="n">
        <f aca="false">IF(F233=0,0,ROUND(G233/F233,2))</f>
        <v>0</v>
      </c>
      <c r="N233" s="1" t="str">
        <f aca="false">IF(AND(G233&gt;3000,H233="Approved"),"High-Value Approved",IF(OR(H233="Pending",H233="Unknown"),"Needs Review","Normal"))</f>
        <v>Normal</v>
      </c>
      <c r="O233" s="1" t="str">
        <f aca="false">LEFT(B233,3)</f>
        <v>POL</v>
      </c>
      <c r="P233" s="1" t="str">
        <f aca="false">UPPER(D233)</f>
        <v>PROPERTY</v>
      </c>
      <c r="Q233" s="1" t="n">
        <f aca="true">NETWORKDAYS(C233,TODAY())</f>
        <v>370</v>
      </c>
    </row>
    <row r="234" customFormat="false" ht="15" hidden="false" customHeight="true" outlineLevel="0" collapsed="false">
      <c r="A234" s="1" t="n">
        <v>231</v>
      </c>
      <c r="B234" s="1" t="s">
        <v>256</v>
      </c>
      <c r="C234" s="4" t="n">
        <v>46073</v>
      </c>
      <c r="D234" s="1" t="s">
        <v>19</v>
      </c>
      <c r="E234" s="8" t="n">
        <v>72</v>
      </c>
      <c r="F234" s="9" t="n">
        <v>341.88</v>
      </c>
      <c r="G234" s="9" t="n">
        <v>698.12</v>
      </c>
      <c r="H234" s="1" t="s">
        <v>17</v>
      </c>
      <c r="I234" s="1" t="s">
        <v>320</v>
      </c>
      <c r="J234" s="8" t="n">
        <f aca="false">YEAR(C234)</f>
        <v>2026</v>
      </c>
      <c r="K234" s="1" t="str">
        <f aca="false">TEXT(C234,"mmm-yyyy")</f>
        <v>Feb-2026</v>
      </c>
      <c r="L234" s="1" t="str">
        <f aca="false">_xlfn.IFS(E234&lt;25,"Young (18-24)",E234&lt;=40,"Adult (25-40)",E234&lt;=60,"Mid-Age (41-60)",TRUE(),"Senior (60+)")</f>
        <v>Senior (60+)</v>
      </c>
      <c r="M234" s="10" t="n">
        <f aca="false">IF(F234=0,0,ROUND(G234/F234,2))</f>
        <v>2.04</v>
      </c>
      <c r="N234" s="1" t="str">
        <f aca="false">IF(AND(G234&gt;3000,H234="Approved"),"High-Value Approved",IF(OR(H234="Pending",H234="Unknown"),"Needs Review","Normal"))</f>
        <v>Normal</v>
      </c>
      <c r="O234" s="1" t="str">
        <f aca="false">LEFT(B234,3)</f>
        <v>POL</v>
      </c>
      <c r="P234" s="1" t="str">
        <f aca="false">UPPER(D234)</f>
        <v>HEALTH</v>
      </c>
      <c r="Q234" s="1" t="n">
        <f aca="true">NETWORKDAYS(C234,TODAY())</f>
        <v>133</v>
      </c>
    </row>
    <row r="235" customFormat="false" ht="15" hidden="false" customHeight="true" outlineLevel="0" collapsed="false">
      <c r="A235" s="1" t="n">
        <v>232</v>
      </c>
      <c r="B235" s="1" t="s">
        <v>258</v>
      </c>
      <c r="C235" s="4" t="n">
        <v>45687</v>
      </c>
      <c r="D235" s="1" t="s">
        <v>16</v>
      </c>
      <c r="E235" s="8" t="n">
        <v>22</v>
      </c>
      <c r="F235" s="9" t="n">
        <v>374.71</v>
      </c>
      <c r="G235" s="9" t="n">
        <v>0</v>
      </c>
      <c r="H235" s="1" t="s">
        <v>10</v>
      </c>
      <c r="I235" s="1" t="s">
        <v>318</v>
      </c>
      <c r="J235" s="8" t="n">
        <f aca="false">YEAR(C235)</f>
        <v>2025</v>
      </c>
      <c r="K235" s="1" t="str">
        <f aca="false">TEXT(C235,"mmm-yyyy")</f>
        <v>Jan-2025</v>
      </c>
      <c r="L235" s="1" t="str">
        <f aca="false">_xlfn.IFS(E235&lt;25,"Young (18-24)",E235&lt;=40,"Adult (25-40)",E235&lt;=60,"Mid-Age (41-60)",TRUE(),"Senior (60+)")</f>
        <v>Young (18-24)</v>
      </c>
      <c r="M235" s="10" t="n">
        <f aca="false">IF(F235=0,0,ROUND(G235/F235,2))</f>
        <v>0</v>
      </c>
      <c r="N235" s="1" t="str">
        <f aca="false">IF(AND(G235&gt;3000,H235="Approved"),"High-Value Approved",IF(OR(H235="Pending",H235="Unknown"),"Needs Review","Normal"))</f>
        <v>Normal</v>
      </c>
      <c r="O235" s="1" t="str">
        <f aca="false">LEFT(B235,3)</f>
        <v>POL</v>
      </c>
      <c r="P235" s="1" t="str">
        <f aca="false">UPPER(D235)</f>
        <v>PROPERTY</v>
      </c>
      <c r="Q235" s="1" t="n">
        <f aca="true">NETWORKDAYS(C235,TODAY())</f>
        <v>409</v>
      </c>
    </row>
    <row r="236" customFormat="false" ht="15" hidden="false" customHeight="true" outlineLevel="0" collapsed="false">
      <c r="A236" s="1" t="n">
        <v>233</v>
      </c>
      <c r="B236" s="1" t="s">
        <v>259</v>
      </c>
      <c r="C236" s="4" t="n">
        <v>45713</v>
      </c>
      <c r="D236" s="1" t="s">
        <v>19</v>
      </c>
      <c r="E236" s="8" t="n">
        <v>48</v>
      </c>
      <c r="F236" s="9" t="n">
        <v>317.73</v>
      </c>
      <c r="G236" s="9" t="n">
        <v>0</v>
      </c>
      <c r="H236" s="1" t="s">
        <v>10</v>
      </c>
      <c r="I236" s="1" t="s">
        <v>318</v>
      </c>
      <c r="J236" s="8" t="n">
        <f aca="false">YEAR(C236)</f>
        <v>2025</v>
      </c>
      <c r="K236" s="1" t="str">
        <f aca="false">TEXT(C236,"mmm-yyyy")</f>
        <v>Feb-2025</v>
      </c>
      <c r="L236" s="1" t="str">
        <f aca="false">_xlfn.IFS(E236&lt;25,"Young (18-24)",E236&lt;=40,"Adult (25-40)",E236&lt;=60,"Mid-Age (41-60)",TRUE(),"Senior (60+)")</f>
        <v>Mid-Age (41-60)</v>
      </c>
      <c r="M236" s="10" t="n">
        <f aca="false">IF(F236=0,0,ROUND(G236/F236,2))</f>
        <v>0</v>
      </c>
      <c r="N236" s="1" t="str">
        <f aca="false">IF(AND(G236&gt;3000,H236="Approved"),"High-Value Approved",IF(OR(H236="Pending",H236="Unknown"),"Needs Review","Normal"))</f>
        <v>Normal</v>
      </c>
      <c r="O236" s="1" t="str">
        <f aca="false">LEFT(B236,3)</f>
        <v>POL</v>
      </c>
      <c r="P236" s="1" t="str">
        <f aca="false">UPPER(D236)</f>
        <v>HEALTH</v>
      </c>
      <c r="Q236" s="1" t="n">
        <f aca="true">NETWORKDAYS(C236,TODAY())</f>
        <v>391</v>
      </c>
    </row>
    <row r="237" customFormat="false" ht="15" hidden="false" customHeight="true" outlineLevel="0" collapsed="false">
      <c r="A237" s="1" t="n">
        <v>234</v>
      </c>
      <c r="B237" s="1" t="s">
        <v>260</v>
      </c>
      <c r="C237" s="4" t="n">
        <v>45939</v>
      </c>
      <c r="D237" s="1" t="s">
        <v>12</v>
      </c>
      <c r="E237" s="8" t="n">
        <v>51</v>
      </c>
      <c r="F237" s="9" t="n">
        <v>215.49</v>
      </c>
      <c r="G237" s="9" t="n">
        <v>2409.18</v>
      </c>
      <c r="H237" s="1" t="s">
        <v>17</v>
      </c>
      <c r="I237" s="1" t="s">
        <v>318</v>
      </c>
      <c r="J237" s="8" t="n">
        <f aca="false">YEAR(C237)</f>
        <v>2025</v>
      </c>
      <c r="K237" s="1" t="str">
        <f aca="false">TEXT(C237,"mmm-yyyy")</f>
        <v>Oct-2025</v>
      </c>
      <c r="L237" s="1" t="str">
        <f aca="false">_xlfn.IFS(E237&lt;25,"Young (18-24)",E237&lt;=40,"Adult (25-40)",E237&lt;=60,"Mid-Age (41-60)",TRUE(),"Senior (60+)")</f>
        <v>Mid-Age (41-60)</v>
      </c>
      <c r="M237" s="10" t="n">
        <f aca="false">IF(F237=0,0,ROUND(G237/F237,2))</f>
        <v>11.18</v>
      </c>
      <c r="N237" s="1" t="str">
        <f aca="false">IF(AND(G237&gt;3000,H237="Approved"),"High-Value Approved",IF(OR(H237="Pending",H237="Unknown"),"Needs Review","Normal"))</f>
        <v>Normal</v>
      </c>
      <c r="O237" s="1" t="str">
        <f aca="false">LEFT(B237,3)</f>
        <v>POL</v>
      </c>
      <c r="P237" s="1" t="str">
        <f aca="false">UPPER(D237)</f>
        <v>MOTOR</v>
      </c>
      <c r="Q237" s="1" t="n">
        <f aca="true">NETWORKDAYS(C237,TODAY())</f>
        <v>229</v>
      </c>
    </row>
    <row r="238" customFormat="false" ht="15" hidden="false" customHeight="true" outlineLevel="0" collapsed="false">
      <c r="A238" s="1" t="n">
        <v>235</v>
      </c>
      <c r="B238" s="1" t="s">
        <v>261</v>
      </c>
      <c r="C238" s="4" t="n">
        <v>46119</v>
      </c>
      <c r="D238" s="1" t="s">
        <v>9</v>
      </c>
      <c r="E238" s="8" t="n">
        <v>50</v>
      </c>
      <c r="F238" s="9" t="n">
        <v>372.44</v>
      </c>
      <c r="G238" s="9" t="n">
        <v>0</v>
      </c>
      <c r="H238" s="1" t="s">
        <v>10</v>
      </c>
      <c r="I238" s="1" t="s">
        <v>318</v>
      </c>
      <c r="J238" s="8" t="n">
        <f aca="false">YEAR(C238)</f>
        <v>2026</v>
      </c>
      <c r="K238" s="1" t="str">
        <f aca="false">TEXT(C238,"mmm-yyyy")</f>
        <v>Apr-2026</v>
      </c>
      <c r="L238" s="1" t="str">
        <f aca="false">_xlfn.IFS(E238&lt;25,"Young (18-24)",E238&lt;=40,"Adult (25-40)",E238&lt;=60,"Mid-Age (41-60)",TRUE(),"Senior (60+)")</f>
        <v>Mid-Age (41-60)</v>
      </c>
      <c r="M238" s="10" t="n">
        <f aca="false">IF(F238=0,0,ROUND(G238/F238,2))</f>
        <v>0</v>
      </c>
      <c r="N238" s="1" t="str">
        <f aca="false">IF(AND(G238&gt;3000,H238="Approved"),"High-Value Approved",IF(OR(H238="Pending",H238="Unknown"),"Needs Review","Normal"))</f>
        <v>Normal</v>
      </c>
      <c r="O238" s="1" t="str">
        <f aca="false">LEFT(B238,3)</f>
        <v>POL</v>
      </c>
      <c r="P238" s="1" t="str">
        <f aca="false">UPPER(D238)</f>
        <v>LIFE</v>
      </c>
      <c r="Q238" s="1" t="n">
        <f aca="true">NETWORKDAYS(C238,TODAY())</f>
        <v>101</v>
      </c>
    </row>
    <row r="239" customFormat="false" ht="15" hidden="false" customHeight="true" outlineLevel="0" collapsed="false">
      <c r="A239" s="1" t="n">
        <v>236</v>
      </c>
      <c r="B239" s="1" t="s">
        <v>262</v>
      </c>
      <c r="C239" s="4" t="n">
        <v>46028</v>
      </c>
      <c r="D239" s="1" t="s">
        <v>19</v>
      </c>
      <c r="E239" s="8" t="n">
        <v>58</v>
      </c>
      <c r="F239" s="9" t="n">
        <v>378.74</v>
      </c>
      <c r="G239" s="9" t="n">
        <v>0</v>
      </c>
      <c r="H239" s="1" t="s">
        <v>10</v>
      </c>
      <c r="I239" s="1" t="s">
        <v>322</v>
      </c>
      <c r="J239" s="8" t="n">
        <f aca="false">YEAR(C239)</f>
        <v>2026</v>
      </c>
      <c r="K239" s="1" t="str">
        <f aca="false">TEXT(C239,"mmm-yyyy")</f>
        <v>Jan-2026</v>
      </c>
      <c r="L239" s="1" t="str">
        <f aca="false">_xlfn.IFS(E239&lt;25,"Young (18-24)",E239&lt;=40,"Adult (25-40)",E239&lt;=60,"Mid-Age (41-60)",TRUE(),"Senior (60+)")</f>
        <v>Mid-Age (41-60)</v>
      </c>
      <c r="M239" s="10" t="n">
        <f aca="false">IF(F239=0,0,ROUND(G239/F239,2))</f>
        <v>0</v>
      </c>
      <c r="N239" s="1" t="str">
        <f aca="false">IF(AND(G239&gt;3000,H239="Approved"),"High-Value Approved",IF(OR(H239="Pending",H239="Unknown"),"Needs Review","Normal"))</f>
        <v>Normal</v>
      </c>
      <c r="O239" s="1" t="str">
        <f aca="false">LEFT(B239,3)</f>
        <v>POL</v>
      </c>
      <c r="P239" s="1" t="str">
        <f aca="false">UPPER(D239)</f>
        <v>HEALTH</v>
      </c>
      <c r="Q239" s="1" t="n">
        <f aca="true">NETWORKDAYS(C239,TODAY())</f>
        <v>166</v>
      </c>
    </row>
    <row r="240" customFormat="false" ht="15" hidden="false" customHeight="true" outlineLevel="0" collapsed="false">
      <c r="A240" s="1" t="n">
        <v>237</v>
      </c>
      <c r="B240" s="1" t="s">
        <v>263</v>
      </c>
      <c r="C240" s="4" t="n">
        <v>46019</v>
      </c>
      <c r="D240" s="1" t="s">
        <v>19</v>
      </c>
      <c r="E240" s="8" t="n">
        <v>46</v>
      </c>
      <c r="F240" s="9" t="n">
        <v>346.65</v>
      </c>
      <c r="G240" s="9" t="n">
        <v>2892.68</v>
      </c>
      <c r="H240" s="1" t="s">
        <v>13</v>
      </c>
      <c r="I240" s="1" t="s">
        <v>319</v>
      </c>
      <c r="J240" s="8" t="n">
        <f aca="false">YEAR(C240)</f>
        <v>2025</v>
      </c>
      <c r="K240" s="1" t="str">
        <f aca="false">TEXT(C240,"mmm-yyyy")</f>
        <v>Dec-2025</v>
      </c>
      <c r="L240" s="1" t="str">
        <f aca="false">_xlfn.IFS(E240&lt;25,"Young (18-24)",E240&lt;=40,"Adult (25-40)",E240&lt;=60,"Mid-Age (41-60)",TRUE(),"Senior (60+)")</f>
        <v>Mid-Age (41-60)</v>
      </c>
      <c r="M240" s="10" t="n">
        <f aca="false">IF(F240=0,0,ROUND(G240/F240,2))</f>
        <v>8.34</v>
      </c>
      <c r="N240" s="1" t="str">
        <f aca="false">IF(AND(G240&gt;3000,H240="Approved"),"High-Value Approved",IF(OR(H240="Pending",H240="Unknown"),"Needs Review","Normal"))</f>
        <v>Needs Review</v>
      </c>
      <c r="O240" s="1" t="str">
        <f aca="false">LEFT(B240,3)</f>
        <v>POL</v>
      </c>
      <c r="P240" s="1" t="str">
        <f aca="false">UPPER(D240)</f>
        <v>HEALTH</v>
      </c>
      <c r="Q240" s="1" t="n">
        <f aca="true">NETWORKDAYS(C240,TODAY())</f>
        <v>172</v>
      </c>
    </row>
    <row r="241" customFormat="false" ht="15" hidden="false" customHeight="true" outlineLevel="0" collapsed="false">
      <c r="A241" s="1" t="n">
        <v>238</v>
      </c>
      <c r="B241" s="1" t="s">
        <v>264</v>
      </c>
      <c r="C241" s="4" t="n">
        <v>45724</v>
      </c>
      <c r="D241" s="1" t="s">
        <v>9</v>
      </c>
      <c r="E241" s="8" t="n">
        <v>59</v>
      </c>
      <c r="F241" s="9" t="n">
        <v>372.8</v>
      </c>
      <c r="G241" s="9" t="n">
        <v>0</v>
      </c>
      <c r="H241" s="1" t="s">
        <v>10</v>
      </c>
      <c r="I241" s="1" t="s">
        <v>318</v>
      </c>
      <c r="J241" s="8" t="n">
        <f aca="false">YEAR(C241)</f>
        <v>2025</v>
      </c>
      <c r="K241" s="1" t="str">
        <f aca="false">TEXT(C241,"mmm-yyyy")</f>
        <v>Mar-2025</v>
      </c>
      <c r="L241" s="1" t="str">
        <f aca="false">_xlfn.IFS(E241&lt;25,"Young (18-24)",E241&lt;=40,"Adult (25-40)",E241&lt;=60,"Mid-Age (41-60)",TRUE(),"Senior (60+)")</f>
        <v>Mid-Age (41-60)</v>
      </c>
      <c r="M241" s="10" t="n">
        <f aca="false">IF(F241=0,0,ROUND(G241/F241,2))</f>
        <v>0</v>
      </c>
      <c r="N241" s="1" t="str">
        <f aca="false">IF(AND(G241&gt;3000,H241="Approved"),"High-Value Approved",IF(OR(H241="Pending",H241="Unknown"),"Needs Review","Normal"))</f>
        <v>Normal</v>
      </c>
      <c r="O241" s="1" t="str">
        <f aca="false">LEFT(B241,3)</f>
        <v>POL</v>
      </c>
      <c r="P241" s="1" t="str">
        <f aca="false">UPPER(D241)</f>
        <v>LIFE</v>
      </c>
      <c r="Q241" s="1" t="n">
        <f aca="true">NETWORKDAYS(C241,TODAY())</f>
        <v>382</v>
      </c>
    </row>
    <row r="242" customFormat="false" ht="15" hidden="false" customHeight="true" outlineLevel="0" collapsed="false">
      <c r="A242" s="1" t="n">
        <v>239</v>
      </c>
      <c r="B242" s="1" t="s">
        <v>265</v>
      </c>
      <c r="C242" s="4" t="n">
        <v>45910</v>
      </c>
      <c r="D242" s="1" t="s">
        <v>16</v>
      </c>
      <c r="E242" s="8" t="n">
        <v>45</v>
      </c>
      <c r="F242" s="9" t="n">
        <v>380.64</v>
      </c>
      <c r="G242" s="9" t="n">
        <v>0</v>
      </c>
      <c r="H242" s="1" t="s">
        <v>10</v>
      </c>
      <c r="I242" s="1" t="s">
        <v>318</v>
      </c>
      <c r="J242" s="8" t="n">
        <f aca="false">YEAR(C242)</f>
        <v>2025</v>
      </c>
      <c r="K242" s="1" t="str">
        <f aca="false">TEXT(C242,"mmm-yyyy")</f>
        <v>Sep-2025</v>
      </c>
      <c r="L242" s="1" t="str">
        <f aca="false">_xlfn.IFS(E242&lt;25,"Young (18-24)",E242&lt;=40,"Adult (25-40)",E242&lt;=60,"Mid-Age (41-60)",TRUE(),"Senior (60+)")</f>
        <v>Mid-Age (41-60)</v>
      </c>
      <c r="M242" s="10" t="n">
        <f aca="false">IF(F242=0,0,ROUND(G242/F242,2))</f>
        <v>0</v>
      </c>
      <c r="N242" s="1" t="str">
        <f aca="false">IF(AND(G242&gt;3000,H242="Approved"),"High-Value Approved",IF(OR(H242="Pending",H242="Unknown"),"Needs Review","Normal"))</f>
        <v>Normal</v>
      </c>
      <c r="O242" s="1" t="str">
        <f aca="false">LEFT(B242,3)</f>
        <v>POL</v>
      </c>
      <c r="P242" s="1" t="str">
        <f aca="false">UPPER(D242)</f>
        <v>PROPERTY</v>
      </c>
      <c r="Q242" s="1" t="n">
        <f aca="true">NETWORKDAYS(C242,TODAY())</f>
        <v>250</v>
      </c>
    </row>
    <row r="243" customFormat="false" ht="15" hidden="false" customHeight="true" outlineLevel="0" collapsed="false">
      <c r="A243" s="1" t="n">
        <v>240</v>
      </c>
      <c r="B243" s="1" t="s">
        <v>266</v>
      </c>
      <c r="C243" s="4" t="n">
        <v>45939</v>
      </c>
      <c r="D243" s="1" t="s">
        <v>40</v>
      </c>
      <c r="E243" s="8" t="n">
        <v>37</v>
      </c>
      <c r="F243" s="9" t="n">
        <v>120.35</v>
      </c>
      <c r="G243" s="9" t="n">
        <v>726.42</v>
      </c>
      <c r="H243" s="1" t="s">
        <v>17</v>
      </c>
      <c r="I243" s="1" t="s">
        <v>316</v>
      </c>
      <c r="J243" s="8" t="n">
        <f aca="false">YEAR(C243)</f>
        <v>2025</v>
      </c>
      <c r="K243" s="1" t="str">
        <f aca="false">TEXT(C243,"mmm-yyyy")</f>
        <v>Oct-2025</v>
      </c>
      <c r="L243" s="1" t="str">
        <f aca="false">_xlfn.IFS(E243&lt;25,"Young (18-24)",E243&lt;=40,"Adult (25-40)",E243&lt;=60,"Mid-Age (41-60)",TRUE(),"Senior (60+)")</f>
        <v>Adult (25-40)</v>
      </c>
      <c r="M243" s="10" t="n">
        <f aca="false">IF(F243=0,0,ROUND(G243/F243,2))</f>
        <v>6.04</v>
      </c>
      <c r="N243" s="1" t="str">
        <f aca="false">IF(AND(G243&gt;3000,H243="Approved"),"High-Value Approved",IF(OR(H243="Pending",H243="Unknown"),"Needs Review","Normal"))</f>
        <v>Normal</v>
      </c>
      <c r="O243" s="1" t="str">
        <f aca="false">LEFT(B243,3)</f>
        <v>POL</v>
      </c>
      <c r="P243" s="1" t="str">
        <f aca="false">UPPER(D243)</f>
        <v>TRAVEL</v>
      </c>
      <c r="Q243" s="1" t="n">
        <f aca="true">NETWORKDAYS(C243,TODAY())</f>
        <v>229</v>
      </c>
    </row>
    <row r="244" customFormat="false" ht="15" hidden="false" customHeight="true" outlineLevel="0" collapsed="false">
      <c r="A244" s="1" t="n">
        <v>241</v>
      </c>
      <c r="B244" s="1" t="s">
        <v>267</v>
      </c>
      <c r="C244" s="4" t="n">
        <v>45939</v>
      </c>
      <c r="D244" s="1" t="s">
        <v>19</v>
      </c>
      <c r="E244" s="8" t="n">
        <v>74</v>
      </c>
      <c r="F244" s="9" t="n">
        <v>280.09</v>
      </c>
      <c r="G244" s="9" t="n">
        <v>2331.26</v>
      </c>
      <c r="H244" s="1" t="s">
        <v>17</v>
      </c>
      <c r="I244" s="1" t="s">
        <v>316</v>
      </c>
      <c r="J244" s="8" t="n">
        <f aca="false">YEAR(C244)</f>
        <v>2025</v>
      </c>
      <c r="K244" s="1" t="str">
        <f aca="false">TEXT(C244,"mmm-yyyy")</f>
        <v>Oct-2025</v>
      </c>
      <c r="L244" s="1" t="str">
        <f aca="false">_xlfn.IFS(E244&lt;25,"Young (18-24)",E244&lt;=40,"Adult (25-40)",E244&lt;=60,"Mid-Age (41-60)",TRUE(),"Senior (60+)")</f>
        <v>Senior (60+)</v>
      </c>
      <c r="M244" s="10" t="n">
        <f aca="false">IF(F244=0,0,ROUND(G244/F244,2))</f>
        <v>8.32</v>
      </c>
      <c r="N244" s="1" t="str">
        <f aca="false">IF(AND(G244&gt;3000,H244="Approved"),"High-Value Approved",IF(OR(H244="Pending",H244="Unknown"),"Needs Review","Normal"))</f>
        <v>Normal</v>
      </c>
      <c r="O244" s="1" t="str">
        <f aca="false">LEFT(B244,3)</f>
        <v>POL</v>
      </c>
      <c r="P244" s="1" t="str">
        <f aca="false">UPPER(D244)</f>
        <v>HEALTH</v>
      </c>
      <c r="Q244" s="1" t="n">
        <f aca="true">NETWORKDAYS(C244,TODAY())</f>
        <v>229</v>
      </c>
    </row>
    <row r="245" customFormat="false" ht="15" hidden="false" customHeight="true" outlineLevel="0" collapsed="false">
      <c r="A245" s="1" t="n">
        <v>242</v>
      </c>
      <c r="B245" s="1" t="s">
        <v>268</v>
      </c>
      <c r="C245" s="4" t="n">
        <v>45798</v>
      </c>
      <c r="D245" s="1" t="s">
        <v>40</v>
      </c>
      <c r="E245" s="8" t="n">
        <v>40</v>
      </c>
      <c r="F245" s="9" t="n">
        <v>124.72</v>
      </c>
      <c r="G245" s="9" t="n">
        <v>730.73</v>
      </c>
      <c r="H245" s="1" t="s">
        <v>17</v>
      </c>
      <c r="I245" s="1" t="s">
        <v>317</v>
      </c>
      <c r="J245" s="8" t="n">
        <f aca="false">YEAR(C245)</f>
        <v>2025</v>
      </c>
      <c r="K245" s="1" t="str">
        <f aca="false">TEXT(C245,"mmm-yyyy")</f>
        <v>May-2025</v>
      </c>
      <c r="L245" s="1" t="str">
        <f aca="false">_xlfn.IFS(E245&lt;25,"Young (18-24)",E245&lt;=40,"Adult (25-40)",E245&lt;=60,"Mid-Age (41-60)",TRUE(),"Senior (60+)")</f>
        <v>Adult (25-40)</v>
      </c>
      <c r="M245" s="10" t="n">
        <f aca="false">IF(F245=0,0,ROUND(G245/F245,2))</f>
        <v>5.86</v>
      </c>
      <c r="N245" s="1" t="str">
        <f aca="false">IF(AND(G245&gt;3000,H245="Approved"),"High-Value Approved",IF(OR(H245="Pending",H245="Unknown"),"Needs Review","Normal"))</f>
        <v>Normal</v>
      </c>
      <c r="O245" s="1" t="str">
        <f aca="false">LEFT(B245,3)</f>
        <v>POL</v>
      </c>
      <c r="P245" s="1" t="str">
        <f aca="false">UPPER(D245)</f>
        <v>TRAVEL</v>
      </c>
      <c r="Q245" s="1" t="n">
        <f aca="true">NETWORKDAYS(C245,TODAY())</f>
        <v>330</v>
      </c>
    </row>
    <row r="246" customFormat="false" ht="15" hidden="false" customHeight="true" outlineLevel="0" collapsed="false">
      <c r="A246" s="1" t="n">
        <v>243</v>
      </c>
      <c r="B246" s="1" t="s">
        <v>269</v>
      </c>
      <c r="C246" s="4" t="n">
        <v>45741</v>
      </c>
      <c r="D246" s="1" t="s">
        <v>19</v>
      </c>
      <c r="E246" s="8" t="n">
        <v>29</v>
      </c>
      <c r="F246" s="9" t="n">
        <v>281.59</v>
      </c>
      <c r="G246" s="9" t="n">
        <v>0</v>
      </c>
      <c r="H246" s="1" t="s">
        <v>10</v>
      </c>
      <c r="I246" s="1" t="s">
        <v>322</v>
      </c>
      <c r="J246" s="8" t="n">
        <f aca="false">YEAR(C246)</f>
        <v>2025</v>
      </c>
      <c r="K246" s="1" t="str">
        <f aca="false">TEXT(C246,"mmm-yyyy")</f>
        <v>Mar-2025</v>
      </c>
      <c r="L246" s="1" t="str">
        <f aca="false">_xlfn.IFS(E246&lt;25,"Young (18-24)",E246&lt;=40,"Adult (25-40)",E246&lt;=60,"Mid-Age (41-60)",TRUE(),"Senior (60+)")</f>
        <v>Adult (25-40)</v>
      </c>
      <c r="M246" s="10" t="n">
        <f aca="false">IF(F246=0,0,ROUND(G246/F246,2))</f>
        <v>0</v>
      </c>
      <c r="N246" s="1" t="str">
        <f aca="false">IF(AND(G246&gt;3000,H246="Approved"),"High-Value Approved",IF(OR(H246="Pending",H246="Unknown"),"Needs Review","Normal"))</f>
        <v>Normal</v>
      </c>
      <c r="O246" s="1" t="str">
        <f aca="false">LEFT(B246,3)</f>
        <v>POL</v>
      </c>
      <c r="P246" s="1" t="str">
        <f aca="false">UPPER(D246)</f>
        <v>HEALTH</v>
      </c>
      <c r="Q246" s="1" t="n">
        <f aca="true">NETWORKDAYS(C246,TODAY())</f>
        <v>371</v>
      </c>
    </row>
    <row r="247" customFormat="false" ht="15" hidden="false" customHeight="true" outlineLevel="0" collapsed="false">
      <c r="A247" s="1" t="n">
        <v>244</v>
      </c>
      <c r="B247" s="1" t="s">
        <v>270</v>
      </c>
      <c r="C247" s="4" t="n">
        <v>46078</v>
      </c>
      <c r="D247" s="1" t="s">
        <v>19</v>
      </c>
      <c r="E247" s="8" t="n">
        <v>47</v>
      </c>
      <c r="F247" s="9" t="n">
        <v>387.89</v>
      </c>
      <c r="G247" s="9" t="n">
        <v>0</v>
      </c>
      <c r="H247" s="1" t="s">
        <v>10</v>
      </c>
      <c r="I247" s="1" t="s">
        <v>318</v>
      </c>
      <c r="J247" s="8" t="n">
        <f aca="false">YEAR(C247)</f>
        <v>2026</v>
      </c>
      <c r="K247" s="1" t="str">
        <f aca="false">TEXT(C247,"mmm-yyyy")</f>
        <v>Feb-2026</v>
      </c>
      <c r="L247" s="1" t="str">
        <f aca="false">_xlfn.IFS(E247&lt;25,"Young (18-24)",E247&lt;=40,"Adult (25-40)",E247&lt;=60,"Mid-Age (41-60)",TRUE(),"Senior (60+)")</f>
        <v>Mid-Age (41-60)</v>
      </c>
      <c r="M247" s="10" t="n">
        <f aca="false">IF(F247=0,0,ROUND(G247/F247,2))</f>
        <v>0</v>
      </c>
      <c r="N247" s="1" t="str">
        <f aca="false">IF(AND(G247&gt;3000,H247="Approved"),"High-Value Approved",IF(OR(H247="Pending",H247="Unknown"),"Needs Review","Normal"))</f>
        <v>Normal</v>
      </c>
      <c r="O247" s="1" t="str">
        <f aca="false">LEFT(B247,3)</f>
        <v>POL</v>
      </c>
      <c r="P247" s="1" t="str">
        <f aca="false">UPPER(D247)</f>
        <v>HEALTH</v>
      </c>
      <c r="Q247" s="1" t="n">
        <f aca="true">NETWORKDAYS(C247,TODAY())</f>
        <v>130</v>
      </c>
    </row>
    <row r="248" customFormat="false" ht="15" hidden="false" customHeight="true" outlineLevel="0" collapsed="false">
      <c r="A248" s="1" t="n">
        <v>245</v>
      </c>
      <c r="B248" s="1" t="s">
        <v>271</v>
      </c>
      <c r="C248" s="4" t="n">
        <v>45869</v>
      </c>
      <c r="D248" s="1" t="s">
        <v>12</v>
      </c>
      <c r="E248" s="8" t="n">
        <v>65</v>
      </c>
      <c r="F248" s="9" t="n">
        <v>276.34</v>
      </c>
      <c r="G248" s="9" t="n">
        <v>0</v>
      </c>
      <c r="H248" s="1" t="s">
        <v>10</v>
      </c>
      <c r="I248" s="1" t="s">
        <v>318</v>
      </c>
      <c r="J248" s="8" t="n">
        <f aca="false">YEAR(C248)</f>
        <v>2025</v>
      </c>
      <c r="K248" s="1" t="str">
        <f aca="false">TEXT(C248,"mmm-yyyy")</f>
        <v>Jul-2025</v>
      </c>
      <c r="L248" s="1" t="str">
        <f aca="false">_xlfn.IFS(E248&lt;25,"Young (18-24)",E248&lt;=40,"Adult (25-40)",E248&lt;=60,"Mid-Age (41-60)",TRUE(),"Senior (60+)")</f>
        <v>Senior (60+)</v>
      </c>
      <c r="M248" s="10" t="n">
        <f aca="false">IF(F248=0,0,ROUND(G248/F248,2))</f>
        <v>0</v>
      </c>
      <c r="N248" s="1" t="str">
        <f aca="false">IF(AND(G248&gt;3000,H248="Approved"),"High-Value Approved",IF(OR(H248="Pending",H248="Unknown"),"Needs Review","Normal"))</f>
        <v>Normal</v>
      </c>
      <c r="O248" s="1" t="str">
        <f aca="false">LEFT(B248,3)</f>
        <v>POL</v>
      </c>
      <c r="P248" s="1" t="str">
        <f aca="false">UPPER(D248)</f>
        <v>MOTOR</v>
      </c>
      <c r="Q248" s="1" t="n">
        <f aca="true">NETWORKDAYS(C248,TODAY())</f>
        <v>279</v>
      </c>
    </row>
    <row r="249" customFormat="false" ht="15" hidden="false" customHeight="true" outlineLevel="0" collapsed="false">
      <c r="A249" s="1" t="n">
        <v>246</v>
      </c>
      <c r="B249" s="1" t="s">
        <v>272</v>
      </c>
      <c r="C249" s="4" t="n">
        <v>45758</v>
      </c>
      <c r="D249" s="1" t="s">
        <v>9</v>
      </c>
      <c r="E249" s="8" t="n">
        <v>24</v>
      </c>
      <c r="F249" s="9" t="n">
        <v>448.65</v>
      </c>
      <c r="G249" s="9" t="n">
        <v>0</v>
      </c>
      <c r="H249" s="1" t="s">
        <v>10</v>
      </c>
      <c r="I249" s="1" t="s">
        <v>318</v>
      </c>
      <c r="J249" s="8" t="n">
        <f aca="false">YEAR(C249)</f>
        <v>2025</v>
      </c>
      <c r="K249" s="1" t="str">
        <f aca="false">TEXT(C249,"mmm-yyyy")</f>
        <v>Apr-2025</v>
      </c>
      <c r="L249" s="1" t="str">
        <f aca="false">_xlfn.IFS(E249&lt;25,"Young (18-24)",E249&lt;=40,"Adult (25-40)",E249&lt;=60,"Mid-Age (41-60)",TRUE(),"Senior (60+)")</f>
        <v>Young (18-24)</v>
      </c>
      <c r="M249" s="10" t="n">
        <f aca="false">IF(F249=0,0,ROUND(G249/F249,2))</f>
        <v>0</v>
      </c>
      <c r="N249" s="1" t="str">
        <f aca="false">IF(AND(G249&gt;3000,H249="Approved"),"High-Value Approved",IF(OR(H249="Pending",H249="Unknown"),"Needs Review","Normal"))</f>
        <v>Normal</v>
      </c>
      <c r="O249" s="1" t="str">
        <f aca="false">LEFT(B249,3)</f>
        <v>POL</v>
      </c>
      <c r="P249" s="1" t="str">
        <f aca="false">UPPER(D249)</f>
        <v>LIFE</v>
      </c>
      <c r="Q249" s="1" t="n">
        <f aca="true">NETWORKDAYS(C249,TODAY())</f>
        <v>358</v>
      </c>
    </row>
    <row r="250" customFormat="false" ht="15" hidden="false" customHeight="true" outlineLevel="0" collapsed="false">
      <c r="A250" s="1" t="n">
        <v>247</v>
      </c>
      <c r="B250" s="1" t="s">
        <v>273</v>
      </c>
      <c r="C250" s="4" t="n">
        <v>45974</v>
      </c>
      <c r="D250" s="1" t="s">
        <v>19</v>
      </c>
      <c r="E250" s="8" t="n">
        <v>30</v>
      </c>
      <c r="F250" s="9" t="n">
        <v>443.86</v>
      </c>
      <c r="G250" s="9" t="n">
        <v>0</v>
      </c>
      <c r="H250" s="1" t="s">
        <v>10</v>
      </c>
      <c r="I250" s="1" t="s">
        <v>318</v>
      </c>
      <c r="J250" s="8" t="n">
        <f aca="false">YEAR(C250)</f>
        <v>2025</v>
      </c>
      <c r="K250" s="1" t="str">
        <f aca="false">TEXT(C250,"mmm-yyyy")</f>
        <v>Nov-2025</v>
      </c>
      <c r="L250" s="1" t="str">
        <f aca="false">_xlfn.IFS(E250&lt;25,"Young (18-24)",E250&lt;=40,"Adult (25-40)",E250&lt;=60,"Mid-Age (41-60)",TRUE(),"Senior (60+)")</f>
        <v>Adult (25-40)</v>
      </c>
      <c r="M250" s="10" t="n">
        <f aca="false">IF(F250=0,0,ROUND(G250/F250,2))</f>
        <v>0</v>
      </c>
      <c r="N250" s="1" t="str">
        <f aca="false">IF(AND(G250&gt;3000,H250="Approved"),"High-Value Approved",IF(OR(H250="Pending",H250="Unknown"),"Needs Review","Normal"))</f>
        <v>Normal</v>
      </c>
      <c r="O250" s="1" t="str">
        <f aca="false">LEFT(B250,3)</f>
        <v>POL</v>
      </c>
      <c r="P250" s="1" t="str">
        <f aca="false">UPPER(D250)</f>
        <v>HEALTH</v>
      </c>
      <c r="Q250" s="1" t="n">
        <f aca="true">NETWORKDAYS(C250,TODAY())</f>
        <v>204</v>
      </c>
    </row>
    <row r="251" customFormat="false" ht="15" hidden="false" customHeight="true" outlineLevel="0" collapsed="false">
      <c r="A251" s="1" t="n">
        <v>248</v>
      </c>
      <c r="B251" s="1" t="s">
        <v>274</v>
      </c>
      <c r="C251" s="4" t="n">
        <v>45939</v>
      </c>
      <c r="D251" s="1" t="s">
        <v>12</v>
      </c>
      <c r="E251" s="8" t="n">
        <v>35</v>
      </c>
      <c r="F251" s="9" t="n">
        <v>360.73</v>
      </c>
      <c r="G251" s="9" t="n">
        <v>0</v>
      </c>
      <c r="H251" s="1" t="s">
        <v>10</v>
      </c>
      <c r="I251" s="1" t="s">
        <v>316</v>
      </c>
      <c r="J251" s="8" t="n">
        <f aca="false">YEAR(C251)</f>
        <v>2025</v>
      </c>
      <c r="K251" s="1" t="str">
        <f aca="false">TEXT(C251,"mmm-yyyy")</f>
        <v>Oct-2025</v>
      </c>
      <c r="L251" s="1" t="str">
        <f aca="false">_xlfn.IFS(E251&lt;25,"Young (18-24)",E251&lt;=40,"Adult (25-40)",E251&lt;=60,"Mid-Age (41-60)",TRUE(),"Senior (60+)")</f>
        <v>Adult (25-40)</v>
      </c>
      <c r="M251" s="10" t="n">
        <f aca="false">IF(F251=0,0,ROUND(G251/F251,2))</f>
        <v>0</v>
      </c>
      <c r="N251" s="1" t="str">
        <f aca="false">IF(AND(G251&gt;3000,H251="Approved"),"High-Value Approved",IF(OR(H251="Pending",H251="Unknown"),"Needs Review","Normal"))</f>
        <v>Normal</v>
      </c>
      <c r="O251" s="1" t="str">
        <f aca="false">LEFT(B251,3)</f>
        <v>POL</v>
      </c>
      <c r="P251" s="1" t="str">
        <f aca="false">UPPER(D251)</f>
        <v>MOTOR</v>
      </c>
      <c r="Q251" s="1" t="n">
        <f aca="true">NETWORKDAYS(C251,TODAY())</f>
        <v>229</v>
      </c>
    </row>
    <row r="252" customFormat="false" ht="15" hidden="false" customHeight="true" outlineLevel="0" collapsed="false">
      <c r="A252" s="1" t="n">
        <v>249</v>
      </c>
      <c r="B252" s="1" t="s">
        <v>275</v>
      </c>
      <c r="C252" s="4" t="n">
        <v>45740</v>
      </c>
      <c r="D252" s="1" t="s">
        <v>19</v>
      </c>
      <c r="E252" s="8" t="n">
        <v>29</v>
      </c>
      <c r="F252" s="9" t="n">
        <v>306.83</v>
      </c>
      <c r="G252" s="9" t="n">
        <v>2131.71</v>
      </c>
      <c r="H252" s="1" t="s">
        <v>13</v>
      </c>
      <c r="I252" s="1" t="s">
        <v>318</v>
      </c>
      <c r="J252" s="8" t="n">
        <f aca="false">YEAR(C252)</f>
        <v>2025</v>
      </c>
      <c r="K252" s="1" t="str">
        <f aca="false">TEXT(C252,"mmm-yyyy")</f>
        <v>Mar-2025</v>
      </c>
      <c r="L252" s="1" t="str">
        <f aca="false">_xlfn.IFS(E252&lt;25,"Young (18-24)",E252&lt;=40,"Adult (25-40)",E252&lt;=60,"Mid-Age (41-60)",TRUE(),"Senior (60+)")</f>
        <v>Adult (25-40)</v>
      </c>
      <c r="M252" s="10" t="n">
        <f aca="false">IF(F252=0,0,ROUND(G252/F252,2))</f>
        <v>6.95</v>
      </c>
      <c r="N252" s="1" t="str">
        <f aca="false">IF(AND(G252&gt;3000,H252="Approved"),"High-Value Approved",IF(OR(H252="Pending",H252="Unknown"),"Needs Review","Normal"))</f>
        <v>Needs Review</v>
      </c>
      <c r="O252" s="1" t="str">
        <f aca="false">LEFT(B252,3)</f>
        <v>POL</v>
      </c>
      <c r="P252" s="1" t="str">
        <f aca="false">UPPER(D252)</f>
        <v>HEALTH</v>
      </c>
      <c r="Q252" s="1" t="n">
        <f aca="true">NETWORKDAYS(C252,TODAY())</f>
        <v>372</v>
      </c>
    </row>
    <row r="253" customFormat="false" ht="15" hidden="false" customHeight="true" outlineLevel="0" collapsed="false">
      <c r="A253" s="1" t="n">
        <v>250</v>
      </c>
      <c r="B253" s="1" t="s">
        <v>276</v>
      </c>
      <c r="C253" s="4" t="n">
        <v>46048</v>
      </c>
      <c r="D253" s="1" t="s">
        <v>19</v>
      </c>
      <c r="E253" s="8" t="n">
        <v>30</v>
      </c>
      <c r="F253" s="9" t="n">
        <v>279.14</v>
      </c>
      <c r="G253" s="9" t="n">
        <v>1797.64</v>
      </c>
      <c r="H253" s="1" t="s">
        <v>17</v>
      </c>
      <c r="I253" s="1" t="s">
        <v>318</v>
      </c>
      <c r="J253" s="8" t="n">
        <f aca="false">YEAR(C253)</f>
        <v>2026</v>
      </c>
      <c r="K253" s="1" t="str">
        <f aca="false">TEXT(C253,"mmm-yyyy")</f>
        <v>Jan-2026</v>
      </c>
      <c r="L253" s="1" t="str">
        <f aca="false">_xlfn.IFS(E253&lt;25,"Young (18-24)",E253&lt;=40,"Adult (25-40)",E253&lt;=60,"Mid-Age (41-60)",TRUE(),"Senior (60+)")</f>
        <v>Adult (25-40)</v>
      </c>
      <c r="M253" s="10" t="n">
        <f aca="false">IF(F253=0,0,ROUND(G253/F253,2))</f>
        <v>6.44</v>
      </c>
      <c r="N253" s="1" t="str">
        <f aca="false">IF(AND(G253&gt;3000,H253="Approved"),"High-Value Approved",IF(OR(H253="Pending",H253="Unknown"),"Needs Review","Normal"))</f>
        <v>Normal</v>
      </c>
      <c r="O253" s="1" t="str">
        <f aca="false">LEFT(B253,3)</f>
        <v>POL</v>
      </c>
      <c r="P253" s="1" t="str">
        <f aca="false">UPPER(D253)</f>
        <v>HEALTH</v>
      </c>
      <c r="Q253" s="1" t="n">
        <f aca="true">NETWORKDAYS(C253,TODAY())</f>
        <v>152</v>
      </c>
    </row>
    <row r="254" customFormat="false" ht="15" hidden="false" customHeight="true" outlineLevel="0" collapsed="false">
      <c r="A254" s="1" t="n">
        <v>251</v>
      </c>
      <c r="B254" s="1" t="s">
        <v>277</v>
      </c>
      <c r="C254" s="4" t="n">
        <v>45847</v>
      </c>
      <c r="D254" s="1" t="s">
        <v>9</v>
      </c>
      <c r="E254" s="8" t="n">
        <v>66</v>
      </c>
      <c r="F254" s="9" t="n">
        <v>506.16</v>
      </c>
      <c r="G254" s="9" t="n">
        <v>2615.49</v>
      </c>
      <c r="H254" s="1" t="s">
        <v>17</v>
      </c>
      <c r="I254" s="1" t="s">
        <v>318</v>
      </c>
      <c r="J254" s="8" t="n">
        <f aca="false">YEAR(C254)</f>
        <v>2025</v>
      </c>
      <c r="K254" s="1" t="str">
        <f aca="false">TEXT(C254,"mmm-yyyy")</f>
        <v>Jul-2025</v>
      </c>
      <c r="L254" s="1" t="str">
        <f aca="false">_xlfn.IFS(E254&lt;25,"Young (18-24)",E254&lt;=40,"Adult (25-40)",E254&lt;=60,"Mid-Age (41-60)",TRUE(),"Senior (60+)")</f>
        <v>Senior (60+)</v>
      </c>
      <c r="M254" s="10" t="n">
        <f aca="false">IF(F254=0,0,ROUND(G254/F254,2))</f>
        <v>5.17</v>
      </c>
      <c r="N254" s="1" t="str">
        <f aca="false">IF(AND(G254&gt;3000,H254="Approved"),"High-Value Approved",IF(OR(H254="Pending",H254="Unknown"),"Needs Review","Normal"))</f>
        <v>Normal</v>
      </c>
      <c r="O254" s="1" t="str">
        <f aca="false">LEFT(B254,3)</f>
        <v>POL</v>
      </c>
      <c r="P254" s="1" t="str">
        <f aca="false">UPPER(D254)</f>
        <v>LIFE</v>
      </c>
      <c r="Q254" s="1" t="n">
        <f aca="true">NETWORKDAYS(C254,TODAY())</f>
        <v>295</v>
      </c>
    </row>
    <row r="255" customFormat="false" ht="15" hidden="false" customHeight="true" outlineLevel="0" collapsed="false">
      <c r="A255" s="1" t="n">
        <v>252</v>
      </c>
      <c r="B255" s="1" t="s">
        <v>278</v>
      </c>
      <c r="C255" s="4" t="n">
        <v>45735</v>
      </c>
      <c r="D255" s="1" t="s">
        <v>16</v>
      </c>
      <c r="E255" s="8" t="n">
        <v>75</v>
      </c>
      <c r="F255" s="9" t="n">
        <v>377.49</v>
      </c>
      <c r="G255" s="9" t="n">
        <v>2880.16</v>
      </c>
      <c r="H255" s="1" t="s">
        <v>13</v>
      </c>
      <c r="I255" s="1" t="s">
        <v>317</v>
      </c>
      <c r="J255" s="8" t="n">
        <f aca="false">YEAR(C255)</f>
        <v>2025</v>
      </c>
      <c r="K255" s="1" t="str">
        <f aca="false">TEXT(C255,"mmm-yyyy")</f>
        <v>Mar-2025</v>
      </c>
      <c r="L255" s="1" t="str">
        <f aca="false">_xlfn.IFS(E255&lt;25,"Young (18-24)",E255&lt;=40,"Adult (25-40)",E255&lt;=60,"Mid-Age (41-60)",TRUE(),"Senior (60+)")</f>
        <v>Senior (60+)</v>
      </c>
      <c r="M255" s="10" t="n">
        <f aca="false">IF(F255=0,0,ROUND(G255/F255,2))</f>
        <v>7.63</v>
      </c>
      <c r="N255" s="1" t="str">
        <f aca="false">IF(AND(G255&gt;3000,H255="Approved"),"High-Value Approved",IF(OR(H255="Pending",H255="Unknown"),"Needs Review","Normal"))</f>
        <v>Needs Review</v>
      </c>
      <c r="O255" s="1" t="str">
        <f aca="false">LEFT(B255,3)</f>
        <v>POL</v>
      </c>
      <c r="P255" s="1" t="str">
        <f aca="false">UPPER(D255)</f>
        <v>PROPERTY</v>
      </c>
      <c r="Q255" s="1" t="n">
        <f aca="true">NETWORKDAYS(C255,TODAY())</f>
        <v>375</v>
      </c>
    </row>
    <row r="256" customFormat="false" ht="15" hidden="false" customHeight="true" outlineLevel="0" collapsed="false">
      <c r="A256" s="1" t="n">
        <v>253</v>
      </c>
      <c r="B256" s="1" t="s">
        <v>279</v>
      </c>
      <c r="C256" s="4" t="n">
        <v>45786</v>
      </c>
      <c r="D256" s="1" t="s">
        <v>12</v>
      </c>
      <c r="E256" s="8" t="n">
        <v>47</v>
      </c>
      <c r="F256" s="9" t="n">
        <v>246.65</v>
      </c>
      <c r="G256" s="9" t="n">
        <v>0</v>
      </c>
      <c r="H256" s="1" t="s">
        <v>10</v>
      </c>
      <c r="I256" s="1" t="s">
        <v>319</v>
      </c>
      <c r="J256" s="8" t="n">
        <f aca="false">YEAR(C256)</f>
        <v>2025</v>
      </c>
      <c r="K256" s="1" t="str">
        <f aca="false">TEXT(C256,"mmm-yyyy")</f>
        <v>May-2025</v>
      </c>
      <c r="L256" s="1" t="str">
        <f aca="false">_xlfn.IFS(E256&lt;25,"Young (18-24)",E256&lt;=40,"Adult (25-40)",E256&lt;=60,"Mid-Age (41-60)",TRUE(),"Senior (60+)")</f>
        <v>Mid-Age (41-60)</v>
      </c>
      <c r="M256" s="10" t="n">
        <f aca="false">IF(F256=0,0,ROUND(G256/F256,2))</f>
        <v>0</v>
      </c>
      <c r="N256" s="1" t="str">
        <f aca="false">IF(AND(G256&gt;3000,H256="Approved"),"High-Value Approved",IF(OR(H256="Pending",H256="Unknown"),"Needs Review","Normal"))</f>
        <v>Normal</v>
      </c>
      <c r="O256" s="1" t="str">
        <f aca="false">LEFT(B256,3)</f>
        <v>POL</v>
      </c>
      <c r="P256" s="1" t="str">
        <f aca="false">UPPER(D256)</f>
        <v>MOTOR</v>
      </c>
      <c r="Q256" s="1" t="n">
        <f aca="true">NETWORKDAYS(C256,TODAY())</f>
        <v>338</v>
      </c>
    </row>
    <row r="257" customFormat="false" ht="15" hidden="false" customHeight="true" outlineLevel="0" collapsed="false">
      <c r="A257" s="1" t="n">
        <v>254</v>
      </c>
      <c r="B257" s="1" t="s">
        <v>280</v>
      </c>
      <c r="C257" s="4" t="n">
        <v>45792</v>
      </c>
      <c r="D257" s="1" t="s">
        <v>19</v>
      </c>
      <c r="E257" s="8" t="n">
        <v>74</v>
      </c>
      <c r="F257" s="9" t="n">
        <v>394.49</v>
      </c>
      <c r="G257" s="9" t="n">
        <v>1984.79</v>
      </c>
      <c r="H257" s="1" t="s">
        <v>17</v>
      </c>
      <c r="I257" s="1" t="s">
        <v>317</v>
      </c>
      <c r="J257" s="8" t="n">
        <f aca="false">YEAR(C257)</f>
        <v>2025</v>
      </c>
      <c r="K257" s="1" t="str">
        <f aca="false">TEXT(C257,"mmm-yyyy")</f>
        <v>May-2025</v>
      </c>
      <c r="L257" s="1" t="str">
        <f aca="false">_xlfn.IFS(E257&lt;25,"Young (18-24)",E257&lt;=40,"Adult (25-40)",E257&lt;=60,"Mid-Age (41-60)",TRUE(),"Senior (60+)")</f>
        <v>Senior (60+)</v>
      </c>
      <c r="M257" s="10" t="n">
        <f aca="false">IF(F257=0,0,ROUND(G257/F257,2))</f>
        <v>5.03</v>
      </c>
      <c r="N257" s="1" t="str">
        <f aca="false">IF(AND(G257&gt;3000,H257="Approved"),"High-Value Approved",IF(OR(H257="Pending",H257="Unknown"),"Needs Review","Normal"))</f>
        <v>Normal</v>
      </c>
      <c r="O257" s="1" t="str">
        <f aca="false">LEFT(B257,3)</f>
        <v>POL</v>
      </c>
      <c r="P257" s="1" t="str">
        <f aca="false">UPPER(D257)</f>
        <v>HEALTH</v>
      </c>
      <c r="Q257" s="1" t="n">
        <f aca="true">NETWORKDAYS(C257,TODAY())</f>
        <v>334</v>
      </c>
    </row>
    <row r="258" customFormat="false" ht="15" hidden="false" customHeight="true" outlineLevel="0" collapsed="false">
      <c r="A258" s="1" t="n">
        <v>255</v>
      </c>
      <c r="B258" s="1" t="s">
        <v>281</v>
      </c>
      <c r="C258" s="4" t="n">
        <v>46011</v>
      </c>
      <c r="D258" s="1" t="s">
        <v>16</v>
      </c>
      <c r="E258" s="8" t="n">
        <v>23</v>
      </c>
      <c r="F258" s="9" t="n">
        <v>524.87</v>
      </c>
      <c r="G258" s="9" t="n">
        <v>4345.62</v>
      </c>
      <c r="H258" s="1" t="s">
        <v>30</v>
      </c>
      <c r="I258" s="1" t="s">
        <v>318</v>
      </c>
      <c r="J258" s="8" t="n">
        <f aca="false">YEAR(C258)</f>
        <v>2025</v>
      </c>
      <c r="K258" s="1" t="str">
        <f aca="false">TEXT(C258,"mmm-yyyy")</f>
        <v>Dec-2025</v>
      </c>
      <c r="L258" s="1" t="str">
        <f aca="false">_xlfn.IFS(E258&lt;25,"Young (18-24)",E258&lt;=40,"Adult (25-40)",E258&lt;=60,"Mid-Age (41-60)",TRUE(),"Senior (60+)")</f>
        <v>Young (18-24)</v>
      </c>
      <c r="M258" s="10" t="n">
        <f aca="false">IF(F258=0,0,ROUND(G258/F258,2))</f>
        <v>8.28</v>
      </c>
      <c r="N258" s="1" t="str">
        <f aca="false">IF(AND(G258&gt;3000,H258="Approved"),"High-Value Approved",IF(OR(H258="Pending",H258="Unknown"),"Needs Review","Normal"))</f>
        <v>Normal</v>
      </c>
      <c r="O258" s="1" t="str">
        <f aca="false">LEFT(B258,3)</f>
        <v>POL</v>
      </c>
      <c r="P258" s="1" t="str">
        <f aca="false">UPPER(D258)</f>
        <v>PROPERTY</v>
      </c>
      <c r="Q258" s="1" t="n">
        <f aca="true">NETWORKDAYS(C258,TODAY())</f>
        <v>177</v>
      </c>
    </row>
    <row r="259" customFormat="false" ht="15" hidden="false" customHeight="true" outlineLevel="0" collapsed="false">
      <c r="A259" s="1" t="n">
        <v>256</v>
      </c>
      <c r="B259" s="1" t="s">
        <v>282</v>
      </c>
      <c r="C259" s="4" t="n">
        <v>45939</v>
      </c>
      <c r="D259" s="1" t="s">
        <v>9</v>
      </c>
      <c r="E259" s="8" t="n">
        <v>31</v>
      </c>
      <c r="F259" s="9" t="n">
        <v>465.26</v>
      </c>
      <c r="G259" s="9" t="n">
        <v>2501.64</v>
      </c>
      <c r="H259" s="1" t="s">
        <v>13</v>
      </c>
      <c r="I259" s="1" t="s">
        <v>316</v>
      </c>
      <c r="J259" s="8" t="n">
        <f aca="false">YEAR(C259)</f>
        <v>2025</v>
      </c>
      <c r="K259" s="1" t="str">
        <f aca="false">TEXT(C259,"mmm-yyyy")</f>
        <v>Oct-2025</v>
      </c>
      <c r="L259" s="1" t="str">
        <f aca="false">_xlfn.IFS(E259&lt;25,"Young (18-24)",E259&lt;=40,"Adult (25-40)",E259&lt;=60,"Mid-Age (41-60)",TRUE(),"Senior (60+)")</f>
        <v>Adult (25-40)</v>
      </c>
      <c r="M259" s="10" t="n">
        <f aca="false">IF(F259=0,0,ROUND(G259/F259,2))</f>
        <v>5.38</v>
      </c>
      <c r="N259" s="1" t="str">
        <f aca="false">IF(AND(G259&gt;3000,H259="Approved"),"High-Value Approved",IF(OR(H259="Pending",H259="Unknown"),"Needs Review","Normal"))</f>
        <v>Needs Review</v>
      </c>
      <c r="O259" s="1" t="str">
        <f aca="false">LEFT(B259,3)</f>
        <v>POL</v>
      </c>
      <c r="P259" s="1" t="str">
        <f aca="false">UPPER(D259)</f>
        <v>LIFE</v>
      </c>
      <c r="Q259" s="1" t="n">
        <f aca="true">NETWORKDAYS(C259,TODAY())</f>
        <v>229</v>
      </c>
    </row>
    <row r="260" customFormat="false" ht="15" hidden="false" customHeight="true" outlineLevel="0" collapsed="false">
      <c r="A260" s="1" t="n">
        <v>257</v>
      </c>
      <c r="B260" s="1" t="s">
        <v>283</v>
      </c>
      <c r="C260" s="4" t="n">
        <v>45672</v>
      </c>
      <c r="D260" s="1" t="s">
        <v>19</v>
      </c>
      <c r="E260" s="8" t="n">
        <v>74</v>
      </c>
      <c r="F260" s="9" t="n">
        <v>260.28</v>
      </c>
      <c r="G260" s="9" t="n">
        <v>896.46</v>
      </c>
      <c r="H260" s="1" t="s">
        <v>30</v>
      </c>
      <c r="I260" s="1" t="s">
        <v>322</v>
      </c>
      <c r="J260" s="8" t="n">
        <f aca="false">YEAR(C260)</f>
        <v>2025</v>
      </c>
      <c r="K260" s="1" t="str">
        <f aca="false">TEXT(C260,"mmm-yyyy")</f>
        <v>Jan-2025</v>
      </c>
      <c r="L260" s="1" t="str">
        <f aca="false">_xlfn.IFS(E260&lt;25,"Young (18-24)",E260&lt;=40,"Adult (25-40)",E260&lt;=60,"Mid-Age (41-60)",TRUE(),"Senior (60+)")</f>
        <v>Senior (60+)</v>
      </c>
      <c r="M260" s="10" t="n">
        <f aca="false">IF(F260=0,0,ROUND(G260/F260,2))</f>
        <v>3.44</v>
      </c>
      <c r="N260" s="1" t="str">
        <f aca="false">IF(AND(G260&gt;3000,H260="Approved"),"High-Value Approved",IF(OR(H260="Pending",H260="Unknown"),"Needs Review","Normal"))</f>
        <v>Normal</v>
      </c>
      <c r="O260" s="1" t="str">
        <f aca="false">LEFT(B260,3)</f>
        <v>POL</v>
      </c>
      <c r="P260" s="1" t="str">
        <f aca="false">UPPER(D260)</f>
        <v>HEALTH</v>
      </c>
      <c r="Q260" s="1" t="n">
        <f aca="true">NETWORKDAYS(C260,TODAY())</f>
        <v>420</v>
      </c>
    </row>
    <row r="261" customFormat="false" ht="15" hidden="false" customHeight="true" outlineLevel="0" collapsed="false">
      <c r="A261" s="1" t="n">
        <v>258</v>
      </c>
      <c r="B261" s="1" t="s">
        <v>284</v>
      </c>
      <c r="C261" s="4" t="n">
        <v>46103</v>
      </c>
      <c r="D261" s="1" t="s">
        <v>40</v>
      </c>
      <c r="E261" s="8" t="n">
        <v>57</v>
      </c>
      <c r="F261" s="9" t="n">
        <v>107.21</v>
      </c>
      <c r="G261" s="9" t="n">
        <v>730.73</v>
      </c>
      <c r="H261" s="1" t="s">
        <v>17</v>
      </c>
      <c r="I261" s="1" t="s">
        <v>317</v>
      </c>
      <c r="J261" s="8" t="n">
        <f aca="false">YEAR(C261)</f>
        <v>2026</v>
      </c>
      <c r="K261" s="1" t="str">
        <f aca="false">TEXT(C261,"mmm-yyyy")</f>
        <v>Mar-2026</v>
      </c>
      <c r="L261" s="1" t="str">
        <f aca="false">_xlfn.IFS(E261&lt;25,"Young (18-24)",E261&lt;=40,"Adult (25-40)",E261&lt;=60,"Mid-Age (41-60)",TRUE(),"Senior (60+)")</f>
        <v>Mid-Age (41-60)</v>
      </c>
      <c r="M261" s="10" t="n">
        <f aca="false">IF(F261=0,0,ROUND(G261/F261,2))</f>
        <v>6.82</v>
      </c>
      <c r="N261" s="1" t="str">
        <f aca="false">IF(AND(G261&gt;3000,H261="Approved"),"High-Value Approved",IF(OR(H261="Pending",H261="Unknown"),"Needs Review","Normal"))</f>
        <v>Normal</v>
      </c>
      <c r="O261" s="1" t="str">
        <f aca="false">LEFT(B261,3)</f>
        <v>POL</v>
      </c>
      <c r="P261" s="1" t="str">
        <f aca="false">UPPER(D261)</f>
        <v>TRAVEL</v>
      </c>
      <c r="Q261" s="1" t="n">
        <f aca="true">NETWORKDAYS(C261,TODAY())</f>
        <v>112</v>
      </c>
    </row>
    <row r="262" customFormat="false" ht="15" hidden="false" customHeight="true" outlineLevel="0" collapsed="false">
      <c r="A262" s="1" t="n">
        <v>259</v>
      </c>
      <c r="B262" s="1" t="s">
        <v>285</v>
      </c>
      <c r="C262" s="4" t="n">
        <v>45658</v>
      </c>
      <c r="D262" s="1" t="s">
        <v>16</v>
      </c>
      <c r="E262" s="8" t="n">
        <v>49</v>
      </c>
      <c r="F262" s="9" t="n">
        <v>540.17</v>
      </c>
      <c r="G262" s="9" t="n">
        <v>2816.84</v>
      </c>
      <c r="H262" s="1" t="s">
        <v>17</v>
      </c>
      <c r="I262" s="1" t="s">
        <v>319</v>
      </c>
      <c r="J262" s="8" t="n">
        <f aca="false">YEAR(C262)</f>
        <v>2025</v>
      </c>
      <c r="K262" s="1" t="str">
        <f aca="false">TEXT(C262,"mmm-yyyy")</f>
        <v>Jan-2025</v>
      </c>
      <c r="L262" s="1" t="str">
        <f aca="false">_xlfn.IFS(E262&lt;25,"Young (18-24)",E262&lt;=40,"Adult (25-40)",E262&lt;=60,"Mid-Age (41-60)",TRUE(),"Senior (60+)")</f>
        <v>Mid-Age (41-60)</v>
      </c>
      <c r="M262" s="10" t="n">
        <f aca="false">IF(F262=0,0,ROUND(G262/F262,2))</f>
        <v>5.21</v>
      </c>
      <c r="N262" s="1" t="str">
        <f aca="false">IF(AND(G262&gt;3000,H262="Approved"),"High-Value Approved",IF(OR(H262="Pending",H262="Unknown"),"Needs Review","Normal"))</f>
        <v>Normal</v>
      </c>
      <c r="O262" s="1" t="str">
        <f aca="false">LEFT(B262,3)</f>
        <v>POL</v>
      </c>
      <c r="P262" s="1" t="str">
        <f aca="false">UPPER(D262)</f>
        <v>PROPERTY</v>
      </c>
      <c r="Q262" s="1" t="n">
        <f aca="true">NETWORKDAYS(C262,TODAY())</f>
        <v>430</v>
      </c>
    </row>
    <row r="263" customFormat="false" ht="15" hidden="false" customHeight="true" outlineLevel="0" collapsed="false">
      <c r="A263" s="1" t="n">
        <v>260</v>
      </c>
      <c r="B263" s="1" t="s">
        <v>286</v>
      </c>
      <c r="C263" s="4" t="n">
        <v>45674</v>
      </c>
      <c r="D263" s="1" t="s">
        <v>9</v>
      </c>
      <c r="E263" s="8" t="n">
        <v>30</v>
      </c>
      <c r="F263" s="9" t="n">
        <v>403.38</v>
      </c>
      <c r="G263" s="9" t="n">
        <v>0</v>
      </c>
      <c r="H263" s="1" t="s">
        <v>10</v>
      </c>
      <c r="I263" s="1" t="s">
        <v>318</v>
      </c>
      <c r="J263" s="8" t="n">
        <f aca="false">YEAR(C263)</f>
        <v>2025</v>
      </c>
      <c r="K263" s="1" t="str">
        <f aca="false">TEXT(C263,"mmm-yyyy")</f>
        <v>Jan-2025</v>
      </c>
      <c r="L263" s="1" t="str">
        <f aca="false">_xlfn.IFS(E263&lt;25,"Young (18-24)",E263&lt;=40,"Adult (25-40)",E263&lt;=60,"Mid-Age (41-60)",TRUE(),"Senior (60+)")</f>
        <v>Adult (25-40)</v>
      </c>
      <c r="M263" s="10" t="n">
        <f aca="false">IF(F263=0,0,ROUND(G263/F263,2))</f>
        <v>0</v>
      </c>
      <c r="N263" s="1" t="str">
        <f aca="false">IF(AND(G263&gt;3000,H263="Approved"),"High-Value Approved",IF(OR(H263="Pending",H263="Unknown"),"Needs Review","Normal"))</f>
        <v>Normal</v>
      </c>
      <c r="O263" s="1" t="str">
        <f aca="false">LEFT(B263,3)</f>
        <v>POL</v>
      </c>
      <c r="P263" s="1" t="str">
        <f aca="false">UPPER(D263)</f>
        <v>LIFE</v>
      </c>
      <c r="Q263" s="1" t="n">
        <f aca="true">NETWORKDAYS(C263,TODAY())</f>
        <v>418</v>
      </c>
    </row>
    <row r="264" customFormat="false" ht="15" hidden="false" customHeight="true" outlineLevel="0" collapsed="false">
      <c r="A264" s="1" t="n">
        <v>261</v>
      </c>
      <c r="B264" s="1" t="s">
        <v>287</v>
      </c>
      <c r="C264" s="4" t="n">
        <v>45871</v>
      </c>
      <c r="D264" s="1" t="s">
        <v>19</v>
      </c>
      <c r="E264" s="8" t="n">
        <v>24</v>
      </c>
      <c r="F264" s="9" t="n">
        <v>341.31</v>
      </c>
      <c r="G264" s="9" t="n">
        <v>1903.29</v>
      </c>
      <c r="H264" s="1" t="s">
        <v>17</v>
      </c>
      <c r="I264" s="1" t="s">
        <v>318</v>
      </c>
      <c r="J264" s="8" t="n">
        <f aca="false">YEAR(C264)</f>
        <v>2025</v>
      </c>
      <c r="K264" s="1" t="str">
        <f aca="false">TEXT(C264,"mmm-yyyy")</f>
        <v>Aug-2025</v>
      </c>
      <c r="L264" s="1" t="str">
        <f aca="false">_xlfn.IFS(E264&lt;25,"Young (18-24)",E264&lt;=40,"Adult (25-40)",E264&lt;=60,"Mid-Age (41-60)",TRUE(),"Senior (60+)")</f>
        <v>Young (18-24)</v>
      </c>
      <c r="M264" s="10" t="n">
        <f aca="false">IF(F264=0,0,ROUND(G264/F264,2))</f>
        <v>5.58</v>
      </c>
      <c r="N264" s="1" t="str">
        <f aca="false">IF(AND(G264&gt;3000,H264="Approved"),"High-Value Approved",IF(OR(H264="Pending",H264="Unknown"),"Needs Review","Normal"))</f>
        <v>Normal</v>
      </c>
      <c r="O264" s="1" t="str">
        <f aca="false">LEFT(B264,3)</f>
        <v>POL</v>
      </c>
      <c r="P264" s="1" t="str">
        <f aca="false">UPPER(D264)</f>
        <v>HEALTH</v>
      </c>
      <c r="Q264" s="1" t="n">
        <f aca="true">NETWORKDAYS(C264,TODAY())</f>
        <v>277</v>
      </c>
    </row>
    <row r="265" customFormat="false" ht="15" hidden="false" customHeight="true" outlineLevel="0" collapsed="false">
      <c r="A265" s="1" t="n">
        <v>262</v>
      </c>
      <c r="B265" s="1" t="s">
        <v>288</v>
      </c>
      <c r="C265" s="4" t="n">
        <v>45939</v>
      </c>
      <c r="D265" s="1" t="s">
        <v>9</v>
      </c>
      <c r="E265" s="8" t="n">
        <v>19</v>
      </c>
      <c r="F265" s="9" t="n">
        <v>366.05</v>
      </c>
      <c r="G265" s="9" t="n">
        <v>0</v>
      </c>
      <c r="H265" s="1" t="s">
        <v>10</v>
      </c>
      <c r="I265" s="1" t="s">
        <v>316</v>
      </c>
      <c r="J265" s="8" t="n">
        <f aca="false">YEAR(C265)</f>
        <v>2025</v>
      </c>
      <c r="K265" s="1" t="str">
        <f aca="false">TEXT(C265,"mmm-yyyy")</f>
        <v>Oct-2025</v>
      </c>
      <c r="L265" s="1" t="str">
        <f aca="false">_xlfn.IFS(E265&lt;25,"Young (18-24)",E265&lt;=40,"Adult (25-40)",E265&lt;=60,"Mid-Age (41-60)",TRUE(),"Senior (60+)")</f>
        <v>Young (18-24)</v>
      </c>
      <c r="M265" s="10" t="n">
        <f aca="false">IF(F265=0,0,ROUND(G265/F265,2))</f>
        <v>0</v>
      </c>
      <c r="N265" s="1" t="str">
        <f aca="false">IF(AND(G265&gt;3000,H265="Approved"),"High-Value Approved",IF(OR(H265="Pending",H265="Unknown"),"Needs Review","Normal"))</f>
        <v>Normal</v>
      </c>
      <c r="O265" s="1" t="str">
        <f aca="false">LEFT(B265,3)</f>
        <v>POL</v>
      </c>
      <c r="P265" s="1" t="str">
        <f aca="false">UPPER(D265)</f>
        <v>LIFE</v>
      </c>
      <c r="Q265" s="1" t="n">
        <f aca="true">NETWORKDAYS(C265,TODAY())</f>
        <v>229</v>
      </c>
    </row>
    <row r="266" customFormat="false" ht="15" hidden="false" customHeight="true" outlineLevel="0" collapsed="false">
      <c r="A266" s="1" t="n">
        <v>263</v>
      </c>
      <c r="B266" s="1" t="s">
        <v>289</v>
      </c>
      <c r="C266" s="4" t="n">
        <v>45905</v>
      </c>
      <c r="D266" s="1" t="s">
        <v>19</v>
      </c>
      <c r="E266" s="8" t="n">
        <v>62</v>
      </c>
      <c r="F266" s="9" t="n">
        <v>316.28</v>
      </c>
      <c r="G266" s="9" t="n">
        <v>2676.48</v>
      </c>
      <c r="H266" s="1" t="s">
        <v>17</v>
      </c>
      <c r="I266" s="1" t="s">
        <v>318</v>
      </c>
      <c r="J266" s="8" t="n">
        <f aca="false">YEAR(C266)</f>
        <v>2025</v>
      </c>
      <c r="K266" s="1" t="str">
        <f aca="false">TEXT(C266,"mmm-yyyy")</f>
        <v>Sep-2025</v>
      </c>
      <c r="L266" s="1" t="str">
        <f aca="false">_xlfn.IFS(E266&lt;25,"Young (18-24)",E266&lt;=40,"Adult (25-40)",E266&lt;=60,"Mid-Age (41-60)",TRUE(),"Senior (60+)")</f>
        <v>Senior (60+)</v>
      </c>
      <c r="M266" s="10" t="n">
        <f aca="false">IF(F266=0,0,ROUND(G266/F266,2))</f>
        <v>8.46</v>
      </c>
      <c r="N266" s="1" t="str">
        <f aca="false">IF(AND(G266&gt;3000,H266="Approved"),"High-Value Approved",IF(OR(H266="Pending",H266="Unknown"),"Needs Review","Normal"))</f>
        <v>Normal</v>
      </c>
      <c r="O266" s="1" t="str">
        <f aca="false">LEFT(B266,3)</f>
        <v>POL</v>
      </c>
      <c r="P266" s="1" t="str">
        <f aca="false">UPPER(D266)</f>
        <v>HEALTH</v>
      </c>
      <c r="Q266" s="1" t="n">
        <f aca="true">NETWORKDAYS(C266,TODAY())</f>
        <v>253</v>
      </c>
    </row>
    <row r="267" customFormat="false" ht="15" hidden="false" customHeight="true" outlineLevel="0" collapsed="false">
      <c r="A267" s="1" t="n">
        <v>264</v>
      </c>
      <c r="B267" s="1" t="s">
        <v>290</v>
      </c>
      <c r="C267" s="4" t="n">
        <v>46097</v>
      </c>
      <c r="D267" s="1" t="s">
        <v>12</v>
      </c>
      <c r="E267" s="8" t="n">
        <v>31</v>
      </c>
      <c r="F267" s="9" t="n">
        <v>292.55</v>
      </c>
      <c r="G267" s="9" t="n">
        <v>0</v>
      </c>
      <c r="H267" s="1" t="s">
        <v>10</v>
      </c>
      <c r="I267" s="1" t="s">
        <v>320</v>
      </c>
      <c r="J267" s="8" t="n">
        <f aca="false">YEAR(C267)</f>
        <v>2026</v>
      </c>
      <c r="K267" s="1" t="str">
        <f aca="false">TEXT(C267,"mmm-yyyy")</f>
        <v>Mar-2026</v>
      </c>
      <c r="L267" s="1" t="str">
        <f aca="false">_xlfn.IFS(E267&lt;25,"Young (18-24)",E267&lt;=40,"Adult (25-40)",E267&lt;=60,"Mid-Age (41-60)",TRUE(),"Senior (60+)")</f>
        <v>Adult (25-40)</v>
      </c>
      <c r="M267" s="10" t="n">
        <f aca="false">IF(F267=0,0,ROUND(G267/F267,2))</f>
        <v>0</v>
      </c>
      <c r="N267" s="1" t="str">
        <f aca="false">IF(AND(G267&gt;3000,H267="Approved"),"High-Value Approved",IF(OR(H267="Pending",H267="Unknown"),"Needs Review","Normal"))</f>
        <v>Normal</v>
      </c>
      <c r="O267" s="1" t="str">
        <f aca="false">LEFT(B267,3)</f>
        <v>POL</v>
      </c>
      <c r="P267" s="1" t="str">
        <f aca="false">UPPER(D267)</f>
        <v>MOTOR</v>
      </c>
      <c r="Q267" s="1" t="n">
        <f aca="true">NETWORKDAYS(C267,TODAY())</f>
        <v>117</v>
      </c>
    </row>
    <row r="268" customFormat="false" ht="15" hidden="false" customHeight="true" outlineLevel="0" collapsed="false">
      <c r="A268" s="1" t="n">
        <v>265</v>
      </c>
      <c r="B268" s="1" t="s">
        <v>291</v>
      </c>
      <c r="C268" s="4" t="n">
        <v>45793</v>
      </c>
      <c r="D268" s="1" t="s">
        <v>12</v>
      </c>
      <c r="E268" s="8" t="n">
        <v>36</v>
      </c>
      <c r="F268" s="9" t="n">
        <v>234.21</v>
      </c>
      <c r="G268" s="9" t="n">
        <v>0</v>
      </c>
      <c r="H268" s="1" t="s">
        <v>10</v>
      </c>
      <c r="I268" s="1" t="s">
        <v>318</v>
      </c>
      <c r="J268" s="8" t="n">
        <f aca="false">YEAR(C268)</f>
        <v>2025</v>
      </c>
      <c r="K268" s="1" t="str">
        <f aca="false">TEXT(C268,"mmm-yyyy")</f>
        <v>May-2025</v>
      </c>
      <c r="L268" s="1" t="str">
        <f aca="false">_xlfn.IFS(E268&lt;25,"Young (18-24)",E268&lt;=40,"Adult (25-40)",E268&lt;=60,"Mid-Age (41-60)",TRUE(),"Senior (60+)")</f>
        <v>Adult (25-40)</v>
      </c>
      <c r="M268" s="10" t="n">
        <f aca="false">IF(F268=0,0,ROUND(G268/F268,2))</f>
        <v>0</v>
      </c>
      <c r="N268" s="1" t="str">
        <f aca="false">IF(AND(G268&gt;3000,H268="Approved"),"High-Value Approved",IF(OR(H268="Pending",H268="Unknown"),"Needs Review","Normal"))</f>
        <v>Normal</v>
      </c>
      <c r="O268" s="1" t="str">
        <f aca="false">LEFT(B268,3)</f>
        <v>POL</v>
      </c>
      <c r="P268" s="1" t="str">
        <f aca="false">UPPER(D268)</f>
        <v>MOTOR</v>
      </c>
      <c r="Q268" s="1" t="n">
        <f aca="true">NETWORKDAYS(C268,TODAY())</f>
        <v>333</v>
      </c>
    </row>
    <row r="269" customFormat="false" ht="15" hidden="false" customHeight="true" outlineLevel="0" collapsed="false">
      <c r="A269" s="1" t="n">
        <v>266</v>
      </c>
      <c r="B269" s="1" t="s">
        <v>292</v>
      </c>
      <c r="C269" s="4" t="n">
        <v>45997</v>
      </c>
      <c r="D269" s="1" t="s">
        <v>19</v>
      </c>
      <c r="E269" s="8" t="n">
        <v>60</v>
      </c>
      <c r="F269" s="9" t="n">
        <v>118.77</v>
      </c>
      <c r="G269" s="9" t="n">
        <v>0</v>
      </c>
      <c r="H269" s="1" t="s">
        <v>10</v>
      </c>
      <c r="I269" s="1" t="s">
        <v>322</v>
      </c>
      <c r="J269" s="8" t="n">
        <f aca="false">YEAR(C269)</f>
        <v>2025</v>
      </c>
      <c r="K269" s="1" t="str">
        <f aca="false">TEXT(C269,"mmm-yyyy")</f>
        <v>Dec-2025</v>
      </c>
      <c r="L269" s="1" t="str">
        <f aca="false">_xlfn.IFS(E269&lt;25,"Young (18-24)",E269&lt;=40,"Adult (25-40)",E269&lt;=60,"Mid-Age (41-60)",TRUE(),"Senior (60+)")</f>
        <v>Mid-Age (41-60)</v>
      </c>
      <c r="M269" s="10" t="n">
        <f aca="false">IF(F269=0,0,ROUND(G269/F269,2))</f>
        <v>0</v>
      </c>
      <c r="N269" s="1" t="str">
        <f aca="false">IF(AND(G269&gt;3000,H269="Approved"),"High-Value Approved",IF(OR(H269="Pending",H269="Unknown"),"Needs Review","Normal"))</f>
        <v>Normal</v>
      </c>
      <c r="O269" s="1" t="str">
        <f aca="false">LEFT(B269,3)</f>
        <v>POL</v>
      </c>
      <c r="P269" s="1" t="str">
        <f aca="false">UPPER(D269)</f>
        <v>HEALTH</v>
      </c>
      <c r="Q269" s="1" t="n">
        <f aca="true">NETWORKDAYS(C269,TODAY())</f>
        <v>187</v>
      </c>
    </row>
    <row r="270" customFormat="false" ht="15" hidden="false" customHeight="true" outlineLevel="0" collapsed="false">
      <c r="A270" s="1" t="n">
        <v>267</v>
      </c>
      <c r="B270" s="1" t="s">
        <v>293</v>
      </c>
      <c r="C270" s="4" t="n">
        <v>45803</v>
      </c>
      <c r="D270" s="1" t="s">
        <v>19</v>
      </c>
      <c r="E270" s="8" t="n">
        <v>37</v>
      </c>
      <c r="F270" s="9" t="n">
        <v>368.48</v>
      </c>
      <c r="G270" s="9" t="n">
        <v>1534.08</v>
      </c>
      <c r="H270" s="1" t="s">
        <v>30</v>
      </c>
      <c r="I270" s="1" t="s">
        <v>322</v>
      </c>
      <c r="J270" s="8" t="n">
        <f aca="false">YEAR(C270)</f>
        <v>2025</v>
      </c>
      <c r="K270" s="1" t="str">
        <f aca="false">TEXT(C270,"mmm-yyyy")</f>
        <v>May-2025</v>
      </c>
      <c r="L270" s="1" t="str">
        <f aca="false">_xlfn.IFS(E270&lt;25,"Young (18-24)",E270&lt;=40,"Adult (25-40)",E270&lt;=60,"Mid-Age (41-60)",TRUE(),"Senior (60+)")</f>
        <v>Adult (25-40)</v>
      </c>
      <c r="M270" s="10" t="n">
        <f aca="false">IF(F270=0,0,ROUND(G270/F270,2))</f>
        <v>4.16</v>
      </c>
      <c r="N270" s="1" t="str">
        <f aca="false">IF(AND(G270&gt;3000,H270="Approved"),"High-Value Approved",IF(OR(H270="Pending",H270="Unknown"),"Needs Review","Normal"))</f>
        <v>Normal</v>
      </c>
      <c r="O270" s="1" t="str">
        <f aca="false">LEFT(B270,3)</f>
        <v>POL</v>
      </c>
      <c r="P270" s="1" t="str">
        <f aca="false">UPPER(D270)</f>
        <v>HEALTH</v>
      </c>
      <c r="Q270" s="1" t="n">
        <f aca="true">NETWORKDAYS(C270,TODAY())</f>
        <v>327</v>
      </c>
    </row>
    <row r="271" customFormat="false" ht="15" hidden="false" customHeight="true" outlineLevel="0" collapsed="false">
      <c r="A271" s="1" t="n">
        <v>268</v>
      </c>
      <c r="B271" s="1" t="s">
        <v>294</v>
      </c>
      <c r="C271" s="4" t="n">
        <v>45856</v>
      </c>
      <c r="D271" s="1" t="s">
        <v>12</v>
      </c>
      <c r="E271" s="8" t="n">
        <v>40</v>
      </c>
      <c r="F271" s="9" t="n">
        <v>350.67</v>
      </c>
      <c r="G271" s="9" t="n">
        <v>601.96</v>
      </c>
      <c r="H271" s="1" t="s">
        <v>13</v>
      </c>
      <c r="I271" s="1" t="s">
        <v>318</v>
      </c>
      <c r="J271" s="8" t="n">
        <f aca="false">YEAR(C271)</f>
        <v>2025</v>
      </c>
      <c r="K271" s="1" t="str">
        <f aca="false">TEXT(C271,"mmm-yyyy")</f>
        <v>Jul-2025</v>
      </c>
      <c r="L271" s="1" t="str">
        <f aca="false">_xlfn.IFS(E271&lt;25,"Young (18-24)",E271&lt;=40,"Adult (25-40)",E271&lt;=60,"Mid-Age (41-60)",TRUE(),"Senior (60+)")</f>
        <v>Adult (25-40)</v>
      </c>
      <c r="M271" s="10" t="n">
        <f aca="false">IF(F271=0,0,ROUND(G271/F271,2))</f>
        <v>1.72</v>
      </c>
      <c r="N271" s="1" t="str">
        <f aca="false">IF(AND(G271&gt;3000,H271="Approved"),"High-Value Approved",IF(OR(H271="Pending",H271="Unknown"),"Needs Review","Normal"))</f>
        <v>Needs Review</v>
      </c>
      <c r="O271" s="1" t="str">
        <f aca="false">LEFT(B271,3)</f>
        <v>POL</v>
      </c>
      <c r="P271" s="1" t="str">
        <f aca="false">UPPER(D271)</f>
        <v>MOTOR</v>
      </c>
      <c r="Q271" s="1" t="n">
        <f aca="true">NETWORKDAYS(C271,TODAY())</f>
        <v>288</v>
      </c>
    </row>
    <row r="272" customFormat="false" ht="15" hidden="false" customHeight="true" outlineLevel="0" collapsed="false">
      <c r="A272" s="1" t="n">
        <v>269</v>
      </c>
      <c r="B272" s="1" t="s">
        <v>295</v>
      </c>
      <c r="C272" s="4" t="n">
        <v>45858</v>
      </c>
      <c r="D272" s="1" t="s">
        <v>16</v>
      </c>
      <c r="E272" s="8" t="n">
        <v>50</v>
      </c>
      <c r="F272" s="9" t="n">
        <v>376.36</v>
      </c>
      <c r="G272" s="9" t="n">
        <v>1097.74</v>
      </c>
      <c r="H272" s="1" t="s">
        <v>13</v>
      </c>
      <c r="I272" s="1" t="s">
        <v>318</v>
      </c>
      <c r="J272" s="8" t="n">
        <f aca="false">YEAR(C272)</f>
        <v>2025</v>
      </c>
      <c r="K272" s="1" t="str">
        <f aca="false">TEXT(C272,"mmm-yyyy")</f>
        <v>Jul-2025</v>
      </c>
      <c r="L272" s="1" t="str">
        <f aca="false">_xlfn.IFS(E272&lt;25,"Young (18-24)",E272&lt;=40,"Adult (25-40)",E272&lt;=60,"Mid-Age (41-60)",TRUE(),"Senior (60+)")</f>
        <v>Mid-Age (41-60)</v>
      </c>
      <c r="M272" s="10" t="n">
        <f aca="false">IF(F272=0,0,ROUND(G272/F272,2))</f>
        <v>2.92</v>
      </c>
      <c r="N272" s="1" t="str">
        <f aca="false">IF(AND(G272&gt;3000,H272="Approved"),"High-Value Approved",IF(OR(H272="Pending",H272="Unknown"),"Needs Review","Normal"))</f>
        <v>Needs Review</v>
      </c>
      <c r="O272" s="1" t="str">
        <f aca="false">LEFT(B272,3)</f>
        <v>POL</v>
      </c>
      <c r="P272" s="1" t="str">
        <f aca="false">UPPER(D272)</f>
        <v>PROPERTY</v>
      </c>
      <c r="Q272" s="1" t="n">
        <f aca="true">NETWORKDAYS(C272,TODAY())</f>
        <v>287</v>
      </c>
    </row>
    <row r="273" customFormat="false" ht="15" hidden="false" customHeight="true" outlineLevel="0" collapsed="false">
      <c r="A273" s="1" t="n">
        <v>270</v>
      </c>
      <c r="B273" s="1" t="s">
        <v>296</v>
      </c>
      <c r="C273" s="4" t="n">
        <v>46228</v>
      </c>
      <c r="D273" s="1" t="s">
        <v>19</v>
      </c>
      <c r="E273" s="8" t="n">
        <v>52</v>
      </c>
      <c r="F273" s="9" t="n">
        <v>339.59</v>
      </c>
      <c r="G273" s="9" t="n">
        <v>0</v>
      </c>
      <c r="H273" s="1" t="s">
        <v>10</v>
      </c>
      <c r="I273" s="1" t="s">
        <v>318</v>
      </c>
      <c r="J273" s="8" t="n">
        <f aca="false">YEAR(C273)</f>
        <v>2026</v>
      </c>
      <c r="K273" s="1" t="str">
        <f aca="false">TEXT(C273,"mmm-yyyy")</f>
        <v>Jul-2026</v>
      </c>
      <c r="L273" s="1" t="str">
        <f aca="false">_xlfn.IFS(E273&lt;25,"Young (18-24)",E273&lt;=40,"Adult (25-40)",E273&lt;=60,"Mid-Age (41-60)",TRUE(),"Senior (60+)")</f>
        <v>Mid-Age (41-60)</v>
      </c>
      <c r="M273" s="10" t="n">
        <f aca="false">IF(F273=0,0,ROUND(G273/F273,2))</f>
        <v>0</v>
      </c>
      <c r="N273" s="1" t="str">
        <f aca="false">IF(AND(G273&gt;3000,H273="Approved"),"High-Value Approved",IF(OR(H273="Pending",H273="Unknown"),"Needs Review","Normal"))</f>
        <v>Normal</v>
      </c>
      <c r="O273" s="1" t="str">
        <f aca="false">LEFT(B273,3)</f>
        <v>POL</v>
      </c>
      <c r="P273" s="1" t="str">
        <f aca="false">UPPER(D273)</f>
        <v>HEALTH</v>
      </c>
      <c r="Q273" s="1" t="n">
        <f aca="true">NETWORKDAYS(C273,TODAY())</f>
        <v>22</v>
      </c>
    </row>
    <row r="274" customFormat="false" ht="15" hidden="false" customHeight="true" outlineLevel="0" collapsed="false">
      <c r="A274" s="1" t="n">
        <v>271</v>
      </c>
      <c r="B274" s="1" t="s">
        <v>297</v>
      </c>
      <c r="C274" s="4" t="n">
        <v>45919</v>
      </c>
      <c r="D274" s="1" t="s">
        <v>19</v>
      </c>
      <c r="E274" s="8" t="n">
        <v>68</v>
      </c>
      <c r="F274" s="9" t="n">
        <v>436.45</v>
      </c>
      <c r="G274" s="9" t="n">
        <v>2970.52</v>
      </c>
      <c r="H274" s="1" t="s">
        <v>17</v>
      </c>
      <c r="I274" s="1" t="s">
        <v>318</v>
      </c>
      <c r="J274" s="8" t="n">
        <f aca="false">YEAR(C274)</f>
        <v>2025</v>
      </c>
      <c r="K274" s="1" t="str">
        <f aca="false">TEXT(C274,"mmm-yyyy")</f>
        <v>Sep-2025</v>
      </c>
      <c r="L274" s="1" t="str">
        <f aca="false">_xlfn.IFS(E274&lt;25,"Young (18-24)",E274&lt;=40,"Adult (25-40)",E274&lt;=60,"Mid-Age (41-60)",TRUE(),"Senior (60+)")</f>
        <v>Senior (60+)</v>
      </c>
      <c r="M274" s="10" t="n">
        <f aca="false">IF(F274=0,0,ROUND(G274/F274,2))</f>
        <v>6.81</v>
      </c>
      <c r="N274" s="1" t="str">
        <f aca="false">IF(AND(G274&gt;3000,H274="Approved"),"High-Value Approved",IF(OR(H274="Pending",H274="Unknown"),"Needs Review","Normal"))</f>
        <v>Normal</v>
      </c>
      <c r="O274" s="1" t="str">
        <f aca="false">LEFT(B274,3)</f>
        <v>POL</v>
      </c>
      <c r="P274" s="1" t="str">
        <f aca="false">UPPER(D274)</f>
        <v>HEALTH</v>
      </c>
      <c r="Q274" s="1" t="n">
        <f aca="true">NETWORKDAYS(C274,TODAY())</f>
        <v>243</v>
      </c>
    </row>
    <row r="275" customFormat="false" ht="15" hidden="false" customHeight="true" outlineLevel="0" collapsed="false">
      <c r="A275" s="1" t="n">
        <v>272</v>
      </c>
      <c r="B275" s="1" t="s">
        <v>298</v>
      </c>
      <c r="C275" s="4" t="n">
        <v>45744</v>
      </c>
      <c r="D275" s="1" t="s">
        <v>9</v>
      </c>
      <c r="E275" s="8" t="n">
        <v>26</v>
      </c>
      <c r="F275" s="9" t="n">
        <v>504.32</v>
      </c>
      <c r="G275" s="9" t="n">
        <v>1353.33</v>
      </c>
      <c r="H275" s="1" t="s">
        <v>17</v>
      </c>
      <c r="I275" s="1" t="s">
        <v>318</v>
      </c>
      <c r="J275" s="8" t="n">
        <f aca="false">YEAR(C275)</f>
        <v>2025</v>
      </c>
      <c r="K275" s="1" t="str">
        <f aca="false">TEXT(C275,"mmm-yyyy")</f>
        <v>Mar-2025</v>
      </c>
      <c r="L275" s="1" t="str">
        <f aca="false">_xlfn.IFS(E275&lt;25,"Young (18-24)",E275&lt;=40,"Adult (25-40)",E275&lt;=60,"Mid-Age (41-60)",TRUE(),"Senior (60+)")</f>
        <v>Adult (25-40)</v>
      </c>
      <c r="M275" s="10" t="n">
        <f aca="false">IF(F275=0,0,ROUND(G275/F275,2))</f>
        <v>2.68</v>
      </c>
      <c r="N275" s="1" t="str">
        <f aca="false">IF(AND(G275&gt;3000,H275="Approved"),"High-Value Approved",IF(OR(H275="Pending",H275="Unknown"),"Needs Review","Normal"))</f>
        <v>Normal</v>
      </c>
      <c r="O275" s="1" t="str">
        <f aca="false">LEFT(B275,3)</f>
        <v>POL</v>
      </c>
      <c r="P275" s="1" t="str">
        <f aca="false">UPPER(D275)</f>
        <v>LIFE</v>
      </c>
      <c r="Q275" s="1" t="n">
        <f aca="true">NETWORKDAYS(C275,TODAY())</f>
        <v>368</v>
      </c>
    </row>
    <row r="276" customFormat="false" ht="15" hidden="false" customHeight="true" outlineLevel="0" collapsed="false">
      <c r="A276" s="1" t="n">
        <v>273</v>
      </c>
      <c r="B276" s="1" t="s">
        <v>299</v>
      </c>
      <c r="C276" s="4" t="n">
        <v>46038</v>
      </c>
      <c r="D276" s="1" t="s">
        <v>19</v>
      </c>
      <c r="E276" s="8" t="n">
        <v>46</v>
      </c>
      <c r="F276" s="9" t="n">
        <v>257.97</v>
      </c>
      <c r="G276" s="9" t="n">
        <v>0</v>
      </c>
      <c r="H276" s="1" t="s">
        <v>10</v>
      </c>
      <c r="I276" s="1" t="s">
        <v>319</v>
      </c>
      <c r="J276" s="8" t="n">
        <f aca="false">YEAR(C276)</f>
        <v>2026</v>
      </c>
      <c r="K276" s="1" t="str">
        <f aca="false">TEXT(C276,"mmm-yyyy")</f>
        <v>Jan-2026</v>
      </c>
      <c r="L276" s="1" t="str">
        <f aca="false">_xlfn.IFS(E276&lt;25,"Young (18-24)",E276&lt;=40,"Adult (25-40)",E276&lt;=60,"Mid-Age (41-60)",TRUE(),"Senior (60+)")</f>
        <v>Mid-Age (41-60)</v>
      </c>
      <c r="M276" s="10" t="n">
        <f aca="false">IF(F276=0,0,ROUND(G276/F276,2))</f>
        <v>0</v>
      </c>
      <c r="N276" s="1" t="str">
        <f aca="false">IF(AND(G276&gt;3000,H276="Approved"),"High-Value Approved",IF(OR(H276="Pending",H276="Unknown"),"Needs Review","Normal"))</f>
        <v>Normal</v>
      </c>
      <c r="O276" s="1" t="str">
        <f aca="false">LEFT(B276,3)</f>
        <v>POL</v>
      </c>
      <c r="P276" s="1" t="str">
        <f aca="false">UPPER(D276)</f>
        <v>HEALTH</v>
      </c>
      <c r="Q276" s="1" t="n">
        <f aca="true">NETWORKDAYS(C276,TODAY())</f>
        <v>158</v>
      </c>
    </row>
    <row r="277" customFormat="false" ht="15" hidden="false" customHeight="true" outlineLevel="0" collapsed="false">
      <c r="A277" s="1" t="n">
        <v>274</v>
      </c>
      <c r="B277" s="1" t="s">
        <v>300</v>
      </c>
      <c r="C277" s="4" t="n">
        <v>45929</v>
      </c>
      <c r="D277" s="1" t="s">
        <v>12</v>
      </c>
      <c r="E277" s="8" t="n">
        <v>46</v>
      </c>
      <c r="F277" s="9" t="n">
        <v>292.55</v>
      </c>
      <c r="G277" s="9" t="n">
        <v>0</v>
      </c>
      <c r="H277" s="1" t="s">
        <v>10</v>
      </c>
      <c r="I277" s="1" t="s">
        <v>320</v>
      </c>
      <c r="J277" s="8" t="n">
        <f aca="false">YEAR(C277)</f>
        <v>2025</v>
      </c>
      <c r="K277" s="1" t="str">
        <f aca="false">TEXT(C277,"mmm-yyyy")</f>
        <v>Sep-2025</v>
      </c>
      <c r="L277" s="1" t="str">
        <f aca="false">_xlfn.IFS(E277&lt;25,"Young (18-24)",E277&lt;=40,"Adult (25-40)",E277&lt;=60,"Mid-Age (41-60)",TRUE(),"Senior (60+)")</f>
        <v>Mid-Age (41-60)</v>
      </c>
      <c r="M277" s="10" t="n">
        <f aca="false">IF(F277=0,0,ROUND(G277/F277,2))</f>
        <v>0</v>
      </c>
      <c r="N277" s="1" t="str">
        <f aca="false">IF(AND(G277&gt;3000,H277="Approved"),"High-Value Approved",IF(OR(H277="Pending",H277="Unknown"),"Needs Review","Normal"))</f>
        <v>Normal</v>
      </c>
      <c r="O277" s="1" t="str">
        <f aca="false">LEFT(B277,3)</f>
        <v>POL</v>
      </c>
      <c r="P277" s="1" t="str">
        <f aca="false">UPPER(D277)</f>
        <v>MOTOR</v>
      </c>
      <c r="Q277" s="1" t="n">
        <f aca="true">NETWORKDAYS(C277,TODAY())</f>
        <v>237</v>
      </c>
    </row>
    <row r="278" customFormat="false" ht="15" hidden="false" customHeight="true" outlineLevel="0" collapsed="false">
      <c r="A278" s="1" t="n">
        <v>275</v>
      </c>
      <c r="B278" s="1" t="s">
        <v>301</v>
      </c>
      <c r="C278" s="4" t="n">
        <v>46054</v>
      </c>
      <c r="D278" s="1" t="s">
        <v>12</v>
      </c>
      <c r="E278" s="8" t="n">
        <v>47</v>
      </c>
      <c r="F278" s="9" t="n">
        <v>287.26</v>
      </c>
      <c r="G278" s="9" t="n">
        <v>0</v>
      </c>
      <c r="H278" s="1" t="s">
        <v>10</v>
      </c>
      <c r="I278" s="1" t="s">
        <v>319</v>
      </c>
      <c r="J278" s="8" t="n">
        <f aca="false">YEAR(C278)</f>
        <v>2026</v>
      </c>
      <c r="K278" s="1" t="str">
        <f aca="false">TEXT(C278,"mmm-yyyy")</f>
        <v>Feb-2026</v>
      </c>
      <c r="L278" s="1" t="str">
        <f aca="false">_xlfn.IFS(E278&lt;25,"Young (18-24)",E278&lt;=40,"Adult (25-40)",E278&lt;=60,"Mid-Age (41-60)",TRUE(),"Senior (60+)")</f>
        <v>Mid-Age (41-60)</v>
      </c>
      <c r="M278" s="10" t="n">
        <f aca="false">IF(F278=0,0,ROUND(G278/F278,2))</f>
        <v>0</v>
      </c>
      <c r="N278" s="1" t="str">
        <f aca="false">IF(AND(G278&gt;3000,H278="Approved"),"High-Value Approved",IF(OR(H278="Pending",H278="Unknown"),"Needs Review","Normal"))</f>
        <v>Normal</v>
      </c>
      <c r="O278" s="1" t="str">
        <f aca="false">LEFT(B278,3)</f>
        <v>POL</v>
      </c>
      <c r="P278" s="1" t="str">
        <f aca="false">UPPER(D278)</f>
        <v>MOTOR</v>
      </c>
      <c r="Q278" s="1" t="n">
        <f aca="true">NETWORKDAYS(C278,TODAY())</f>
        <v>147</v>
      </c>
    </row>
    <row r="279" customFormat="false" ht="15" hidden="false" customHeight="true" outlineLevel="0" collapsed="false">
      <c r="A279" s="1" t="n">
        <v>276</v>
      </c>
      <c r="B279" s="1" t="s">
        <v>302</v>
      </c>
      <c r="C279" s="4" t="n">
        <v>46033</v>
      </c>
      <c r="D279" s="1" t="s">
        <v>19</v>
      </c>
      <c r="E279" s="8" t="n">
        <v>30</v>
      </c>
      <c r="F279" s="9" t="n">
        <v>387.67</v>
      </c>
      <c r="G279" s="9" t="n">
        <v>0</v>
      </c>
      <c r="H279" s="1" t="s">
        <v>10</v>
      </c>
      <c r="I279" s="1" t="s">
        <v>318</v>
      </c>
      <c r="J279" s="8" t="n">
        <f aca="false">YEAR(C279)</f>
        <v>2026</v>
      </c>
      <c r="K279" s="1" t="str">
        <f aca="false">TEXT(C279,"mmm-yyyy")</f>
        <v>Jan-2026</v>
      </c>
      <c r="L279" s="1" t="str">
        <f aca="false">_xlfn.IFS(E279&lt;25,"Young (18-24)",E279&lt;=40,"Adult (25-40)",E279&lt;=60,"Mid-Age (41-60)",TRUE(),"Senior (60+)")</f>
        <v>Adult (25-40)</v>
      </c>
      <c r="M279" s="10" t="n">
        <f aca="false">IF(F279=0,0,ROUND(G279/F279,2))</f>
        <v>0</v>
      </c>
      <c r="N279" s="1" t="str">
        <f aca="false">IF(AND(G279&gt;3000,H279="Approved"),"High-Value Approved",IF(OR(H279="Pending",H279="Unknown"),"Needs Review","Normal"))</f>
        <v>Normal</v>
      </c>
      <c r="O279" s="1" t="str">
        <f aca="false">LEFT(B279,3)</f>
        <v>POL</v>
      </c>
      <c r="P279" s="1" t="str">
        <f aca="false">UPPER(D279)</f>
        <v>HEALTH</v>
      </c>
      <c r="Q279" s="1" t="n">
        <f aca="true">NETWORKDAYS(C279,TODAY())</f>
        <v>162</v>
      </c>
    </row>
    <row r="280" customFormat="false" ht="15" hidden="false" customHeight="true" outlineLevel="0" collapsed="false">
      <c r="A280" s="1" t="n">
        <v>277</v>
      </c>
      <c r="B280" s="1" t="s">
        <v>303</v>
      </c>
      <c r="C280" s="4" t="n">
        <v>46107</v>
      </c>
      <c r="D280" s="1" t="s">
        <v>9</v>
      </c>
      <c r="E280" s="8" t="n">
        <v>20</v>
      </c>
      <c r="F280" s="9" t="n">
        <v>398.51</v>
      </c>
      <c r="G280" s="9" t="n">
        <v>0</v>
      </c>
      <c r="H280" s="1" t="s">
        <v>10</v>
      </c>
      <c r="I280" s="1" t="s">
        <v>318</v>
      </c>
      <c r="J280" s="8" t="n">
        <f aca="false">YEAR(C280)</f>
        <v>2026</v>
      </c>
      <c r="K280" s="1" t="str">
        <f aca="false">TEXT(C280,"mmm-yyyy")</f>
        <v>Mar-2026</v>
      </c>
      <c r="L280" s="1" t="str">
        <f aca="false">_xlfn.IFS(E280&lt;25,"Young (18-24)",E280&lt;=40,"Adult (25-40)",E280&lt;=60,"Mid-Age (41-60)",TRUE(),"Senior (60+)")</f>
        <v>Young (18-24)</v>
      </c>
      <c r="M280" s="10" t="n">
        <f aca="false">IF(F280=0,0,ROUND(G280/F280,2))</f>
        <v>0</v>
      </c>
      <c r="N280" s="1" t="str">
        <f aca="false">IF(AND(G280&gt;3000,H280="Approved"),"High-Value Approved",IF(OR(H280="Pending",H280="Unknown"),"Needs Review","Normal"))</f>
        <v>Normal</v>
      </c>
      <c r="O280" s="1" t="str">
        <f aca="false">LEFT(B280,3)</f>
        <v>POL</v>
      </c>
      <c r="P280" s="1" t="str">
        <f aca="false">UPPER(D280)</f>
        <v>LIFE</v>
      </c>
      <c r="Q280" s="1" t="n">
        <f aca="true">NETWORKDAYS(C280,TODAY())</f>
        <v>109</v>
      </c>
    </row>
    <row r="281" customFormat="false" ht="15" hidden="false" customHeight="true" outlineLevel="0" collapsed="false">
      <c r="A281" s="1" t="n">
        <v>278</v>
      </c>
      <c r="B281" s="1" t="s">
        <v>304</v>
      </c>
      <c r="C281" s="4" t="n">
        <v>45889</v>
      </c>
      <c r="D281" s="1" t="s">
        <v>9</v>
      </c>
      <c r="E281" s="8" t="n">
        <v>32</v>
      </c>
      <c r="F281" s="9" t="n">
        <v>316.87</v>
      </c>
      <c r="G281" s="9" t="n">
        <v>0</v>
      </c>
      <c r="H281" s="1" t="s">
        <v>10</v>
      </c>
      <c r="I281" s="1" t="s">
        <v>318</v>
      </c>
      <c r="J281" s="8" t="n">
        <f aca="false">YEAR(C281)</f>
        <v>2025</v>
      </c>
      <c r="K281" s="1" t="str">
        <f aca="false">TEXT(C281,"mmm-yyyy")</f>
        <v>Aug-2025</v>
      </c>
      <c r="L281" s="1" t="str">
        <f aca="false">_xlfn.IFS(E281&lt;25,"Young (18-24)",E281&lt;=40,"Adult (25-40)",E281&lt;=60,"Mid-Age (41-60)",TRUE(),"Senior (60+)")</f>
        <v>Adult (25-40)</v>
      </c>
      <c r="M281" s="10" t="n">
        <f aca="false">IF(F281=0,0,ROUND(G281/F281,2))</f>
        <v>0</v>
      </c>
      <c r="N281" s="1" t="str">
        <f aca="false">IF(AND(G281&gt;3000,H281="Approved"),"High-Value Approved",IF(OR(H281="Pending",H281="Unknown"),"Needs Review","Normal"))</f>
        <v>Normal</v>
      </c>
      <c r="O281" s="1" t="str">
        <f aca="false">LEFT(B281,3)</f>
        <v>POL</v>
      </c>
      <c r="P281" s="1" t="str">
        <f aca="false">UPPER(D281)</f>
        <v>LIFE</v>
      </c>
      <c r="Q281" s="1" t="n">
        <f aca="true">NETWORKDAYS(C281,TODAY())</f>
        <v>265</v>
      </c>
    </row>
  </sheetData>
  <mergeCells count="1">
    <mergeCell ref="A1:N1"/>
  </mergeCells>
  <conditionalFormatting sqref="G4:G281">
    <cfRule type="colorScale" priority="2">
      <colorScale>
        <cfvo type="min" val="0"/>
        <cfvo type="percentile" val="50"/>
        <cfvo type="max" val="0"/>
        <color rgb="FFC6EFCE"/>
        <color rgb="FFFFEB9C"/>
        <color rgb="FFFFC7CE"/>
      </colorScale>
    </cfRule>
  </conditionalFormatting>
  <conditionalFormatting sqref="N4:N281">
    <cfRule type="cellIs" priority="3" operator="equal" aboveAverage="0" equalAverage="0" bottom="0" percent="0" rank="0" text="" dxfId="63">
      <formula>"Needs Review"</formula>
    </cfRule>
    <cfRule type="cellIs" priority="4" operator="equal" aboveAverage="0" equalAverage="0" bottom="0" percent="0" rank="0" text="" dxfId="64">
      <formula>"High-Value Approved"</formula>
    </cfRule>
  </conditionalFormatting>
  <conditionalFormatting sqref="F4:F281">
    <cfRule type="dataBar" priority="5">
      <dataBar showValue="1" minLength="10" maxLength="90">
        <cfvo type="min" val="0"/>
        <cfvo type="max" val="0"/>
        <color rgb="FF638EC6"/>
      </dataBar>
      <extLst>
        <ext xmlns:x14="http://schemas.microsoft.com/office/spreadsheetml/2009/9/main" uri="{B025F937-C7B1-47D3-B67F-A62EFF666E3E}">
          <x14:id>{D96081A7-E2C0-4E46-AFB9-FDD9B0A526D6}</x14:id>
        </ext>
      </extLst>
    </cfRule>
  </conditionalFormatting>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D96081A7-E2C0-4E46-AFB9-FDD9B0A526D6}">
            <x14:dataBar minLength="10" maxLength="90" axisPosition="none" gradient="true">
              <x14:cfvo type="min"/>
              <x14:cfvo type="max"/>
              <x14:negativeFillColor rgb="FF638EC6"/>
              <x14:axisColor rgb="FF000000"/>
            </x14:dataBar>
          </x14:cfRule>
          <xm:sqref>F4:F281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45"/>
    <col collapsed="false" customWidth="true" hidden="false" outlineLevel="0" max="3" min="3" style="1" width="14"/>
    <col collapsed="false" customWidth="true" hidden="false" outlineLevel="0" max="4" min="4" style="1" width="55"/>
  </cols>
  <sheetData>
    <row r="1" customFormat="false" ht="15.75" hidden="false" customHeight="true" outlineLevel="0" collapsed="false">
      <c r="A1" s="6" t="s">
        <v>325</v>
      </c>
      <c r="B1" s="6"/>
      <c r="C1" s="6"/>
      <c r="D1" s="6"/>
    </row>
    <row r="2" customFormat="false" ht="15" hidden="false" customHeight="true" outlineLevel="0" collapsed="false">
      <c r="A2" s="11" t="s">
        <v>326</v>
      </c>
      <c r="B2" s="11"/>
      <c r="C2" s="11"/>
      <c r="D2" s="11"/>
    </row>
    <row r="4" customFormat="false" ht="26.25" hidden="false" customHeight="true" outlineLevel="0" collapsed="false">
      <c r="A4" s="12" t="s">
        <v>327</v>
      </c>
      <c r="B4" s="12" t="s">
        <v>328</v>
      </c>
      <c r="C4" s="12" t="s">
        <v>329</v>
      </c>
      <c r="D4" s="12" t="s">
        <v>330</v>
      </c>
    </row>
    <row r="5" customFormat="false" ht="27.75" hidden="false" customHeight="true" outlineLevel="0" collapsed="false">
      <c r="A5" s="13" t="s">
        <v>1</v>
      </c>
      <c r="B5" s="13" t="s">
        <v>331</v>
      </c>
      <c r="C5" s="13" t="n">
        <v>15</v>
      </c>
      <c r="D5" s="13" t="s">
        <v>332</v>
      </c>
    </row>
    <row r="6" customFormat="false" ht="27.75" hidden="false" customHeight="true" outlineLevel="0" collapsed="false">
      <c r="A6" s="13" t="s">
        <v>333</v>
      </c>
      <c r="B6" s="13" t="s">
        <v>334</v>
      </c>
      <c r="C6" s="13" t="n">
        <v>6</v>
      </c>
      <c r="D6" s="13" t="s">
        <v>335</v>
      </c>
    </row>
    <row r="7" customFormat="false" ht="27.75" hidden="false" customHeight="true" outlineLevel="0" collapsed="false">
      <c r="A7" s="13" t="s">
        <v>336</v>
      </c>
      <c r="B7" s="13" t="s">
        <v>337</v>
      </c>
      <c r="C7" s="13" t="n">
        <v>1</v>
      </c>
      <c r="D7" s="13" t="s">
        <v>338</v>
      </c>
    </row>
    <row r="8" customFormat="false" ht="27.75" hidden="false" customHeight="true" outlineLevel="0" collapsed="false">
      <c r="A8" s="13" t="s">
        <v>3</v>
      </c>
      <c r="B8" s="13" t="s">
        <v>339</v>
      </c>
      <c r="C8" s="13" t="n">
        <v>5</v>
      </c>
      <c r="D8" s="13" t="s">
        <v>340</v>
      </c>
    </row>
    <row r="9" customFormat="false" ht="27.75" hidden="false" customHeight="true" outlineLevel="0" collapsed="false">
      <c r="A9" s="13" t="s">
        <v>3</v>
      </c>
      <c r="B9" s="13" t="s">
        <v>341</v>
      </c>
      <c r="C9" s="13" t="n">
        <v>17</v>
      </c>
      <c r="D9" s="13" t="s">
        <v>342</v>
      </c>
    </row>
    <row r="10" customFormat="false" ht="27.75" hidden="false" customHeight="true" outlineLevel="0" collapsed="false">
      <c r="A10" s="13" t="s">
        <v>7</v>
      </c>
      <c r="B10" s="13" t="s">
        <v>343</v>
      </c>
      <c r="C10" s="13" t="n">
        <v>5</v>
      </c>
      <c r="D10" s="13" t="s">
        <v>340</v>
      </c>
    </row>
    <row r="11" customFormat="false" ht="27.75" hidden="false" customHeight="true" outlineLevel="0" collapsed="false">
      <c r="A11" s="13" t="s">
        <v>7</v>
      </c>
      <c r="B11" s="13" t="s">
        <v>341</v>
      </c>
      <c r="C11" s="13" t="n">
        <v>16</v>
      </c>
      <c r="D11" s="13" t="s">
        <v>344</v>
      </c>
    </row>
    <row r="12" customFormat="false" ht="27.75" hidden="false" customHeight="true" outlineLevel="0" collapsed="false">
      <c r="A12" s="13" t="s">
        <v>4</v>
      </c>
      <c r="B12" s="13" t="s">
        <v>345</v>
      </c>
      <c r="C12" s="13" t="n">
        <v>1</v>
      </c>
      <c r="D12" s="13" t="s">
        <v>346</v>
      </c>
    </row>
    <row r="13" customFormat="false" ht="27.75" hidden="false" customHeight="true" outlineLevel="0" collapsed="false">
      <c r="A13" s="13" t="s">
        <v>4</v>
      </c>
      <c r="B13" s="13" t="s">
        <v>347</v>
      </c>
      <c r="C13" s="13" t="n">
        <v>1</v>
      </c>
      <c r="D13" s="13" t="s">
        <v>346</v>
      </c>
    </row>
    <row r="14" customFormat="false" ht="27.75" hidden="false" customHeight="true" outlineLevel="0" collapsed="false">
      <c r="A14" s="13" t="s">
        <v>4</v>
      </c>
      <c r="B14" s="13" t="s">
        <v>348</v>
      </c>
      <c r="C14" s="13" t="n">
        <v>19</v>
      </c>
      <c r="D14" s="13" t="s">
        <v>349</v>
      </c>
    </row>
    <row r="15" customFormat="false" ht="27.75" hidden="false" customHeight="true" outlineLevel="0" collapsed="false">
      <c r="A15" s="13" t="s">
        <v>5</v>
      </c>
      <c r="B15" s="13" t="s">
        <v>350</v>
      </c>
      <c r="C15" s="13" t="n">
        <v>1</v>
      </c>
      <c r="D15" s="13" t="s">
        <v>346</v>
      </c>
    </row>
    <row r="16" customFormat="false" ht="27.75" hidden="false" customHeight="true" outlineLevel="0" collapsed="false">
      <c r="A16" s="13" t="s">
        <v>5</v>
      </c>
      <c r="B16" s="13" t="s">
        <v>348</v>
      </c>
      <c r="C16" s="13" t="n">
        <v>16</v>
      </c>
      <c r="D16" s="13" t="s">
        <v>351</v>
      </c>
    </row>
    <row r="17" customFormat="false" ht="27.75" hidden="false" customHeight="true" outlineLevel="0" collapsed="false">
      <c r="A17" s="13" t="s">
        <v>6</v>
      </c>
      <c r="B17" s="13" t="s">
        <v>352</v>
      </c>
      <c r="C17" s="13" t="n">
        <v>1</v>
      </c>
      <c r="D17" s="13" t="s">
        <v>353</v>
      </c>
    </row>
    <row r="18" customFormat="false" ht="27.75" hidden="false" customHeight="true" outlineLevel="0" collapsed="false">
      <c r="A18" s="13" t="s">
        <v>6</v>
      </c>
      <c r="B18" s="13" t="s">
        <v>354</v>
      </c>
      <c r="C18" s="13" t="n">
        <v>1</v>
      </c>
      <c r="D18" s="13" t="s">
        <v>353</v>
      </c>
    </row>
    <row r="19" customFormat="false" ht="27.75" hidden="false" customHeight="true" outlineLevel="0" collapsed="false">
      <c r="A19" s="13" t="s">
        <v>6</v>
      </c>
      <c r="B19" s="13" t="s">
        <v>355</v>
      </c>
      <c r="C19" s="13" t="n">
        <v>7</v>
      </c>
      <c r="D19" s="13" t="s">
        <v>356</v>
      </c>
    </row>
    <row r="20" customFormat="false" ht="27.75" hidden="false" customHeight="true" outlineLevel="0" collapsed="false">
      <c r="A20" s="13" t="s">
        <v>6</v>
      </c>
      <c r="B20" s="13" t="s">
        <v>357</v>
      </c>
      <c r="C20" s="13" t="n">
        <v>14</v>
      </c>
      <c r="D20" s="13" t="s">
        <v>358</v>
      </c>
    </row>
    <row r="21" customFormat="false" ht="27.75" hidden="false" customHeight="true" outlineLevel="0" collapsed="false">
      <c r="A21" s="13" t="s">
        <v>2</v>
      </c>
      <c r="B21" s="13" t="s">
        <v>341</v>
      </c>
      <c r="C21" s="13" t="n">
        <v>17</v>
      </c>
      <c r="D21" s="13" t="s">
        <v>359</v>
      </c>
    </row>
  </sheetData>
  <mergeCells count="2">
    <mergeCell ref="A1:D1"/>
    <mergeCell ref="A2:D2"/>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F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7" min="2" style="1" width="15"/>
  </cols>
  <sheetData>
    <row r="1" customFormat="false" ht="19.5" hidden="false" customHeight="true" outlineLevel="0" collapsed="false">
      <c r="A1" s="14" t="s">
        <v>360</v>
      </c>
      <c r="B1" s="14"/>
      <c r="C1" s="14"/>
      <c r="D1" s="14"/>
      <c r="E1" s="14"/>
      <c r="F1" s="14"/>
    </row>
    <row r="3" customFormat="false" ht="15.75" hidden="false" customHeight="true" outlineLevel="0" collapsed="false">
      <c r="A3" s="15" t="s">
        <v>361</v>
      </c>
    </row>
    <row r="5" customFormat="false" ht="15" hidden="false" customHeight="true" outlineLevel="0" collapsed="false">
      <c r="A5" s="3" t="s">
        <v>362</v>
      </c>
      <c r="B5" s="3" t="s">
        <v>363</v>
      </c>
      <c r="C5" s="3" t="s">
        <v>364</v>
      </c>
    </row>
    <row r="6" customFormat="false" ht="15" hidden="false" customHeight="true" outlineLevel="0" collapsed="false">
      <c r="A6" s="16" t="s">
        <v>365</v>
      </c>
      <c r="B6" s="9" t="n">
        <f aca="false">SUM(CleanData[Premium])</f>
        <v>95982.35</v>
      </c>
      <c r="C6" s="9" t="n">
        <f aca="false">SUM(CleanData[Claim_Amount])</f>
        <v>299507.19</v>
      </c>
    </row>
    <row r="7" customFormat="false" ht="15" hidden="false" customHeight="true" outlineLevel="0" collapsed="false">
      <c r="A7" s="16" t="s">
        <v>366</v>
      </c>
      <c r="B7" s="9" t="n">
        <f aca="false">AVERAGE(CleanData[Premium])</f>
        <v>345.260251798561</v>
      </c>
      <c r="C7" s="9" t="n">
        <f aca="false">AVERAGE(CleanData[Claim_Amount])</f>
        <v>1077.36399280576</v>
      </c>
    </row>
    <row r="8" customFormat="false" ht="15" hidden="false" customHeight="true" outlineLevel="0" collapsed="false">
      <c r="A8" s="16" t="s">
        <v>367</v>
      </c>
      <c r="B8" s="9" t="n">
        <f aca="false">COUNT(CleanData[Premium])</f>
        <v>278</v>
      </c>
      <c r="C8" s="9" t="n">
        <f aca="false">COUNT(CleanData[Claim_Amount])</f>
        <v>278</v>
      </c>
    </row>
    <row r="9" customFormat="false" ht="15" hidden="false" customHeight="true" outlineLevel="0" collapsed="false">
      <c r="A9" s="16" t="s">
        <v>368</v>
      </c>
      <c r="B9" s="9" t="n">
        <f aca="false">MIN(CleanData[Premium])</f>
        <v>82.95</v>
      </c>
      <c r="C9" s="9" t="n">
        <f aca="false">MIN(CleanData[Claim_Amount])</f>
        <v>0</v>
      </c>
    </row>
    <row r="10" customFormat="false" ht="15" hidden="false" customHeight="true" outlineLevel="0" collapsed="false">
      <c r="A10" s="16" t="s">
        <v>369</v>
      </c>
      <c r="B10" s="9" t="n">
        <f aca="false">MAX(CleanData[Premium])</f>
        <v>572</v>
      </c>
      <c r="C10" s="9" t="n">
        <f aca="false">MAX(CleanData[Claim_Amount])</f>
        <v>4924.33</v>
      </c>
    </row>
    <row r="12" customFormat="false" ht="15.75" hidden="false" customHeight="true" outlineLevel="0" collapsed="false">
      <c r="A12" s="15" t="s">
        <v>370</v>
      </c>
    </row>
    <row r="14" customFormat="false" ht="15" hidden="false" customHeight="true" outlineLevel="0" collapsed="false">
      <c r="A14" s="3" t="s">
        <v>371</v>
      </c>
      <c r="B14" s="3" t="s">
        <v>372</v>
      </c>
      <c r="C14" s="3" t="s">
        <v>373</v>
      </c>
      <c r="D14" s="3" t="s">
        <v>374</v>
      </c>
      <c r="E14" s="3" t="s">
        <v>375</v>
      </c>
    </row>
    <row r="15" customFormat="false" ht="15" hidden="false" customHeight="true" outlineLevel="0" collapsed="false">
      <c r="A15" s="16" t="s">
        <v>19</v>
      </c>
      <c r="B15" s="1" t="n">
        <f aca="false">COUNTIF(CleanData[Policy_Type],A15)</f>
        <v>95</v>
      </c>
      <c r="C15" s="9" t="n">
        <f aca="false">SUMIF(CleanData[Policy_Type],A15,CleanData[Premium])</f>
        <v>32478.2</v>
      </c>
      <c r="D15" s="9" t="n">
        <f aca="false">AVERAGEIF(CleanData[Policy_Type],A15,CleanData[Claim_Amount])</f>
        <v>1107.30442105263</v>
      </c>
      <c r="E15" s="9" t="n">
        <f aca="false">SUMIFS(CleanData[Claim_Amount],CleanData[Policy_Type],A15,CleanData[Claim_Status],"Approved")</f>
        <v>42084.14</v>
      </c>
    </row>
    <row r="16" customFormat="false" ht="15" hidden="false" customHeight="true" outlineLevel="0" collapsed="false">
      <c r="A16" s="16" t="s">
        <v>12</v>
      </c>
      <c r="B16" s="1" t="n">
        <f aca="false">COUNTIF(CleanData[Policy_Type],A16)</f>
        <v>61</v>
      </c>
      <c r="C16" s="9" t="n">
        <f aca="false">SUMIF(CleanData[Policy_Type],A16,CleanData[Premium])</f>
        <v>17845.82</v>
      </c>
      <c r="D16" s="9" t="n">
        <f aca="false">AVERAGEIF(CleanData[Policy_Type],A16,CleanData[Claim_Amount])</f>
        <v>863.767213114754</v>
      </c>
      <c r="E16" s="9" t="n">
        <f aca="false">SUMIFS(CleanData[Claim_Amount],CleanData[Policy_Type],A16,CleanData[Claim_Status],"Approved")</f>
        <v>18856.6</v>
      </c>
    </row>
    <row r="17" customFormat="false" ht="15" hidden="false" customHeight="true" outlineLevel="0" collapsed="false">
      <c r="A17" s="16" t="s">
        <v>9</v>
      </c>
      <c r="B17" s="1" t="n">
        <f aca="false">COUNTIF(CleanData[Policy_Type],A17)</f>
        <v>56</v>
      </c>
      <c r="C17" s="9" t="n">
        <f aca="false">SUMIF(CleanData[Policy_Type],A17,CleanData[Premium])</f>
        <v>23128.94</v>
      </c>
      <c r="D17" s="9" t="n">
        <f aca="false">AVERAGEIF(CleanData[Policy_Type],A17,CleanData[Claim_Amount])</f>
        <v>1151.09821428571</v>
      </c>
      <c r="E17" s="9" t="n">
        <f aca="false">SUMIFS(CleanData[Claim_Amount],CleanData[Policy_Type],A17,CleanData[Claim_Status],"Approved")</f>
        <v>35576.11</v>
      </c>
    </row>
    <row r="18" customFormat="false" ht="15" hidden="false" customHeight="true" outlineLevel="0" collapsed="false">
      <c r="A18" s="16" t="s">
        <v>16</v>
      </c>
      <c r="B18" s="1" t="n">
        <f aca="false">COUNTIF(CleanData[Policy_Type],A18)</f>
        <v>46</v>
      </c>
      <c r="C18" s="9" t="n">
        <f aca="false">SUMIF(CleanData[Policy_Type],A18,CleanData[Premium])</f>
        <v>20403.42</v>
      </c>
      <c r="D18" s="9" t="n">
        <f aca="false">AVERAGEIF(CleanData[Policy_Type],A18,CleanData[Claim_Amount])</f>
        <v>1502.69434782609</v>
      </c>
      <c r="E18" s="9" t="n">
        <f aca="false">SUMIFS(CleanData[Claim_Amount],CleanData[Policy_Type],A18,CleanData[Claim_Status],"Approved")</f>
        <v>28896.64</v>
      </c>
    </row>
    <row r="19" customFormat="false" ht="15" hidden="false" customHeight="true" outlineLevel="0" collapsed="false">
      <c r="A19" s="16" t="s">
        <v>40</v>
      </c>
      <c r="B19" s="1" t="n">
        <f aca="false">COUNTIF(CleanData[Policy_Type],A19)</f>
        <v>20</v>
      </c>
      <c r="C19" s="9" t="n">
        <f aca="false">SUMIF(CleanData[Policy_Type],A19,CleanData[Premium])</f>
        <v>2125.97</v>
      </c>
      <c r="D19" s="9" t="n">
        <f aca="false">AVERAGEIF(CleanData[Policy_Type],A19,CleanData[Claim_Amount])</f>
        <v>401.9015</v>
      </c>
      <c r="E19" s="9" t="n">
        <f aca="false">SUMIFS(CleanData[Claim_Amount],CleanData[Policy_Type],A19,CleanData[Claim_Status],"Approved")</f>
        <v>3220.86</v>
      </c>
    </row>
    <row r="20" customFormat="false" ht="15" hidden="false" customHeight="true" outlineLevel="0" collapsed="false">
      <c r="A20" s="17" t="s">
        <v>376</v>
      </c>
      <c r="B20" s="18" t="n">
        <f aca="false">SUM(B15:B19)</f>
        <v>278</v>
      </c>
      <c r="C20" s="19" t="n">
        <f aca="false">SUM(C15:C19)</f>
        <v>95982.35</v>
      </c>
    </row>
    <row r="22" customFormat="false" ht="15.75" hidden="false" customHeight="true" outlineLevel="0" collapsed="false">
      <c r="A22" s="15" t="s">
        <v>377</v>
      </c>
    </row>
    <row r="24" customFormat="false" ht="15" hidden="false" customHeight="true" outlineLevel="0" collapsed="false">
      <c r="A24" s="11" t="s">
        <v>378</v>
      </c>
      <c r="B24" s="11"/>
      <c r="C24" s="11"/>
      <c r="D24" s="11"/>
      <c r="E24" s="11"/>
      <c r="F24" s="11"/>
    </row>
    <row r="26" customFormat="false" ht="15" hidden="false" customHeight="true" outlineLevel="0" collapsed="false">
      <c r="A26" s="3" t="s">
        <v>379</v>
      </c>
      <c r="B26" s="3" t="s">
        <v>380</v>
      </c>
    </row>
    <row r="27" customFormat="false" ht="15" hidden="false" customHeight="true" outlineLevel="0" collapsed="false">
      <c r="A27" s="16" t="s">
        <v>381</v>
      </c>
      <c r="B27" s="1" t="n">
        <f aca="false">COUNTIF(CleanData[Priority_Flag],A27)</f>
        <v>13</v>
      </c>
    </row>
    <row r="28" customFormat="false" ht="15" hidden="false" customHeight="true" outlineLevel="0" collapsed="false">
      <c r="A28" s="16" t="s">
        <v>382</v>
      </c>
      <c r="B28" s="1" t="n">
        <f aca="false">COUNTIF(CleanData[Priority_Flag],A28)</f>
        <v>56</v>
      </c>
    </row>
    <row r="29" customFormat="false" ht="15" hidden="false" customHeight="true" outlineLevel="0" collapsed="false">
      <c r="A29" s="16" t="s">
        <v>383</v>
      </c>
      <c r="B29" s="1" t="n">
        <f aca="false">COUNTIF(CleanData[Priority_Flag],A29)</f>
        <v>209</v>
      </c>
    </row>
    <row r="32" customFormat="false" ht="15.75" hidden="false" customHeight="true" outlineLevel="0" collapsed="false">
      <c r="A32" s="15" t="s">
        <v>384</v>
      </c>
    </row>
    <row r="34" customFormat="false" ht="15" hidden="false" customHeight="true" outlineLevel="0" collapsed="false">
      <c r="A34" s="16" t="s">
        <v>385</v>
      </c>
      <c r="B34" s="4" t="n">
        <f aca="true">TODAY()</f>
        <v>46259</v>
      </c>
    </row>
    <row r="35" customFormat="false" ht="15" hidden="false" customHeight="true" outlineLevel="0" collapsed="false">
      <c r="A35" s="16" t="s">
        <v>386</v>
      </c>
      <c r="B35" s="20" t="n">
        <f aca="true">NOW()</f>
        <v>46259.4891073338</v>
      </c>
    </row>
    <row r="36" customFormat="false" ht="15" hidden="false" customHeight="true" outlineLevel="0" collapsed="false">
      <c r="A36" s="16" t="s">
        <v>387</v>
      </c>
      <c r="B36" s="4" t="n">
        <f aca="false">MIN(CleanData[Policy_Date])</f>
        <v>45658</v>
      </c>
    </row>
    <row r="37" customFormat="false" ht="15" hidden="false" customHeight="true" outlineLevel="0" collapsed="false">
      <c r="A37" s="16" t="s">
        <v>388</v>
      </c>
      <c r="B37" s="4" t="n">
        <f aca="false">MAX(CleanData[Policy_Date])</f>
        <v>46228</v>
      </c>
    </row>
    <row r="38" customFormat="false" ht="15" hidden="false" customHeight="true" outlineLevel="0" collapsed="false">
      <c r="A38" s="16" t="s">
        <v>389</v>
      </c>
      <c r="B38" s="1" t="n">
        <f aca="false">SUMPRODUCT((YEAR(CleanData[Policy_Date])=2025)*1)</f>
        <v>187</v>
      </c>
    </row>
    <row r="39" customFormat="false" ht="15" hidden="false" customHeight="true" outlineLevel="0" collapsed="false">
      <c r="A39" s="16" t="s">
        <v>390</v>
      </c>
      <c r="B39" s="1" t="n">
        <f aca="false">SUMPRODUCT((YEAR(CleanData[Policy_Date])=2026)*1)</f>
        <v>91</v>
      </c>
    </row>
    <row r="40" customFormat="false" ht="15" hidden="false" customHeight="true" outlineLevel="0" collapsed="false">
      <c r="A40" s="16" t="s">
        <v>391</v>
      </c>
      <c r="B40" s="8" t="n">
        <f aca="false">AVERAGE(CleanData[Days_Open])</f>
        <v>231.561151079137</v>
      </c>
    </row>
    <row r="43" customFormat="false" ht="15.75" hidden="false" customHeight="true" outlineLevel="0" collapsed="false">
      <c r="A43" s="15" t="s">
        <v>392</v>
      </c>
    </row>
    <row r="45" customFormat="false" ht="15" hidden="false" customHeight="true" outlineLevel="0" collapsed="false">
      <c r="A45" s="3" t="s">
        <v>393</v>
      </c>
      <c r="B45" s="3" t="s">
        <v>394</v>
      </c>
      <c r="C45" s="3" t="s">
        <v>395</v>
      </c>
    </row>
    <row r="46" customFormat="false" ht="15" hidden="false" customHeight="true" outlineLevel="0" collapsed="false">
      <c r="A46" s="16" t="s">
        <v>396</v>
      </c>
      <c r="B46" s="21" t="s">
        <v>397</v>
      </c>
      <c r="C46" s="1" t="str">
        <f aca="false">LEFT(INDEX(CleanData[Policy_ID],1),3)</f>
        <v>POL</v>
      </c>
    </row>
    <row r="47" customFormat="false" ht="15" hidden="false" customHeight="true" outlineLevel="0" collapsed="false">
      <c r="A47" s="16" t="s">
        <v>398</v>
      </c>
      <c r="B47" s="21" t="s">
        <v>399</v>
      </c>
      <c r="C47" s="1" t="str">
        <f aca="false">UPPER(INDEX(CleanData[Policy_Type],1))</f>
        <v>LIFE</v>
      </c>
    </row>
    <row r="48" customFormat="false" ht="15" hidden="false" customHeight="true" outlineLevel="0" collapsed="false">
      <c r="A48" s="16" t="s">
        <v>400</v>
      </c>
      <c r="B48" s="21" t="s">
        <v>401</v>
      </c>
      <c r="C48" s="1" t="str">
        <f aca="false">TRIM(INDEX(CleanData[Claim_Status],1))</f>
        <v>No Claim</v>
      </c>
    </row>
    <row r="49" customFormat="false" ht="15" hidden="false" customHeight="true" outlineLevel="0" collapsed="false">
      <c r="A49" s="16" t="s">
        <v>402</v>
      </c>
      <c r="B49" s="21" t="s">
        <v>403</v>
      </c>
      <c r="C49" s="1" t="str">
        <f aca="false">_xlfn.CONCAT(INDEX(CleanData[Policy_ID],1)," - ",INDEX(CleanData[Policy_Type],1))</f>
        <v>POL00110 - Life</v>
      </c>
    </row>
    <row r="51" customFormat="false" ht="15" hidden="false" customHeight="true" outlineLevel="0" collapsed="false">
      <c r="A51" s="22" t="s">
        <v>404</v>
      </c>
      <c r="B51" s="22"/>
      <c r="C51" s="22"/>
      <c r="D51" s="22"/>
      <c r="E51" s="22"/>
      <c r="F51" s="22"/>
    </row>
    <row r="53" customFormat="false" ht="15.75" hidden="false" customHeight="true" outlineLevel="0" collapsed="false">
      <c r="A53" s="15" t="s">
        <v>405</v>
      </c>
    </row>
    <row r="55" customFormat="false" ht="60" hidden="false" customHeight="true" outlineLevel="0" collapsed="false">
      <c r="A55" s="23" t="s">
        <v>406</v>
      </c>
      <c r="B55" s="23"/>
      <c r="C55" s="23"/>
      <c r="D55" s="23"/>
      <c r="E55" s="23"/>
      <c r="F55" s="23"/>
    </row>
    <row r="56" customFormat="false" ht="15" hidden="false" customHeight="true" outlineLevel="0" collapsed="false">
      <c r="A56" s="23"/>
      <c r="B56" s="23"/>
      <c r="C56" s="23"/>
      <c r="D56" s="23"/>
      <c r="E56" s="23"/>
      <c r="F56" s="23"/>
    </row>
    <row r="57" customFormat="false" ht="15" hidden="false" customHeight="true" outlineLevel="0" collapsed="false">
      <c r="A57" s="23"/>
      <c r="B57" s="23"/>
      <c r="C57" s="23"/>
      <c r="D57" s="23"/>
      <c r="E57" s="23"/>
      <c r="F57" s="23"/>
    </row>
    <row r="58" customFormat="false" ht="15" hidden="false" customHeight="true" outlineLevel="0" collapsed="false">
      <c r="A58" s="23"/>
      <c r="B58" s="23"/>
      <c r="C58" s="23"/>
      <c r="D58" s="23"/>
      <c r="E58" s="23"/>
      <c r="F58" s="23"/>
    </row>
    <row r="60" customFormat="false" ht="15.75" hidden="false" customHeight="true" outlineLevel="0" collapsed="false">
      <c r="A60" s="15" t="s">
        <v>407</v>
      </c>
    </row>
    <row r="62" customFormat="false" ht="15" hidden="false" customHeight="true" outlineLevel="0" collapsed="false">
      <c r="A62" s="3" t="s">
        <v>408</v>
      </c>
      <c r="B62" s="3" t="s">
        <v>409</v>
      </c>
      <c r="C62" s="3" t="s">
        <v>371</v>
      </c>
      <c r="D62" s="3" t="s">
        <v>364</v>
      </c>
    </row>
    <row r="63" customFormat="false" ht="15" hidden="false" customHeight="true" outlineLevel="0" collapsed="false">
      <c r="A63" s="1" t="n">
        <v>1</v>
      </c>
      <c r="B63" s="1" t="str">
        <f aca="false">INDEX(CleanData[Policy_ID],MATCH(D63,CleanData[Claim_Amount],0))</f>
        <v>POL00066</v>
      </c>
      <c r="C63" s="1" t="str">
        <f aca="false">INDEX(CleanData[Policy_Type],MATCH(D63,CleanData[Claim_Amount],0))</f>
        <v>Property</v>
      </c>
      <c r="D63" s="9" t="n">
        <f aca="false">LARGE(CleanData[Claim_Amount],1)</f>
        <v>4924.33</v>
      </c>
    </row>
    <row r="64" customFormat="false" ht="15" hidden="false" customHeight="true" outlineLevel="0" collapsed="false">
      <c r="A64" s="1" t="n">
        <v>2</v>
      </c>
      <c r="B64" s="1" t="str">
        <f aca="false">INDEX(CleanData[Policy_ID],MATCH(D64,CleanData[Claim_Amount],0))</f>
        <v>POL00129</v>
      </c>
      <c r="C64" s="1" t="str">
        <f aca="false">INDEX(CleanData[Policy_Type],MATCH(D64,CleanData[Claim_Amount],0))</f>
        <v>Property</v>
      </c>
      <c r="D64" s="9" t="n">
        <f aca="false">LARGE(CleanData[Claim_Amount],2)</f>
        <v>4841.11</v>
      </c>
    </row>
    <row r="65" customFormat="false" ht="15" hidden="false" customHeight="true" outlineLevel="0" collapsed="false">
      <c r="A65" s="1" t="n">
        <v>3</v>
      </c>
      <c r="B65" s="1" t="str">
        <f aca="false">INDEX(CleanData[Policy_ID],MATCH(D65,CleanData[Claim_Amount],0))</f>
        <v>POL00160</v>
      </c>
      <c r="C65" s="1" t="str">
        <f aca="false">INDEX(CleanData[Policy_Type],MATCH(D65,CleanData[Claim_Amount],0))</f>
        <v>Property</v>
      </c>
      <c r="D65" s="9" t="n">
        <f aca="false">LARGE(CleanData[Claim_Amount],3)</f>
        <v>4764.98</v>
      </c>
    </row>
    <row r="66" customFormat="false" ht="15" hidden="false" customHeight="true" outlineLevel="0" collapsed="false">
      <c r="A66" s="1" t="n">
        <v>4</v>
      </c>
      <c r="B66" s="1" t="str">
        <f aca="false">INDEX(CleanData[Policy_ID],MATCH(D66,CleanData[Claim_Amount],0))</f>
        <v>POL00213</v>
      </c>
      <c r="C66" s="1" t="str">
        <f aca="false">INDEX(CleanData[Policy_Type],MATCH(D66,CleanData[Claim_Amount],0))</f>
        <v>Property</v>
      </c>
      <c r="D66" s="9" t="n">
        <f aca="false">LARGE(CleanData[Claim_Amount],4)</f>
        <v>4730.21</v>
      </c>
    </row>
    <row r="67" customFormat="false" ht="15" hidden="false" customHeight="true" outlineLevel="0" collapsed="false">
      <c r="A67" s="1" t="n">
        <v>5</v>
      </c>
      <c r="B67" s="1" t="str">
        <f aca="false">INDEX(CleanData[Policy_ID],MATCH(D67,CleanData[Claim_Amount],0))</f>
        <v>POL00095</v>
      </c>
      <c r="C67" s="1" t="str">
        <f aca="false">INDEX(CleanData[Policy_Type],MATCH(D67,CleanData[Claim_Amount],0))</f>
        <v>Life</v>
      </c>
      <c r="D67" s="9" t="n">
        <f aca="false">LARGE(CleanData[Claim_Amount],5)</f>
        <v>4518.02</v>
      </c>
    </row>
    <row r="68" customFormat="false" ht="15" hidden="false" customHeight="true" outlineLevel="0" collapsed="false">
      <c r="A68" s="1" t="n">
        <v>6</v>
      </c>
      <c r="B68" s="1" t="str">
        <f aca="false">INDEX(CleanData[Policy_ID],MATCH(D68,CleanData[Claim_Amount],0))</f>
        <v>POL00125</v>
      </c>
      <c r="C68" s="1" t="str">
        <f aca="false">INDEX(CleanData[Policy_Type],MATCH(D68,CleanData[Claim_Amount],0))</f>
        <v>Life</v>
      </c>
      <c r="D68" s="9" t="n">
        <f aca="false">LARGE(CleanData[Claim_Amount],6)</f>
        <v>4358.4</v>
      </c>
    </row>
    <row r="69" customFormat="false" ht="15" hidden="false" customHeight="true" outlineLevel="0" collapsed="false">
      <c r="A69" s="1" t="n">
        <v>7</v>
      </c>
      <c r="B69" s="1" t="str">
        <f aca="false">INDEX(CleanData[Policy_ID],MATCH(D69,CleanData[Claim_Amount],0))</f>
        <v>POL00257</v>
      </c>
      <c r="C69" s="1" t="str">
        <f aca="false">INDEX(CleanData[Policy_Type],MATCH(D69,CleanData[Claim_Amount],0))</f>
        <v>Property</v>
      </c>
      <c r="D69" s="9" t="n">
        <f aca="false">LARGE(CleanData[Claim_Amount],7)</f>
        <v>4345.62</v>
      </c>
    </row>
    <row r="70" customFormat="false" ht="15" hidden="false" customHeight="true" outlineLevel="0" collapsed="false">
      <c r="A70" s="1" t="n">
        <v>8</v>
      </c>
      <c r="B70" s="1" t="str">
        <f aca="false">INDEX(CleanData[Policy_ID],MATCH(D70,CleanData[Claim_Amount],0))</f>
        <v>POL00083</v>
      </c>
      <c r="C70" s="1" t="str">
        <f aca="false">INDEX(CleanData[Policy_Type],MATCH(D70,CleanData[Claim_Amount],0))</f>
        <v>Life</v>
      </c>
      <c r="D70" s="9" t="n">
        <f aca="false">LARGE(CleanData[Claim_Amount],8)</f>
        <v>4200.25</v>
      </c>
    </row>
    <row r="71" customFormat="false" ht="15" hidden="false" customHeight="true" outlineLevel="0" collapsed="false">
      <c r="A71" s="1" t="n">
        <v>9</v>
      </c>
      <c r="B71" s="1" t="str">
        <f aca="false">INDEX(CleanData[Policy_ID],MATCH(D71,CleanData[Claim_Amount],0))</f>
        <v>POL00098</v>
      </c>
      <c r="C71" s="1" t="str">
        <f aca="false">INDEX(CleanData[Policy_Type],MATCH(D71,CleanData[Claim_Amount],0))</f>
        <v>Life</v>
      </c>
      <c r="D71" s="9" t="n">
        <f aca="false">LARGE(CleanData[Claim_Amount],9)</f>
        <v>4200.03</v>
      </c>
    </row>
    <row r="72" customFormat="false" ht="15" hidden="false" customHeight="true" outlineLevel="0" collapsed="false">
      <c r="A72" s="1" t="n">
        <v>10</v>
      </c>
      <c r="B72" s="1" t="str">
        <f aca="false">INDEX(CleanData[Policy_ID],MATCH(D72,CleanData[Claim_Amount],0))</f>
        <v>POL00264</v>
      </c>
      <c r="C72" s="1" t="str">
        <f aca="false">INDEX(CleanData[Policy_Type],MATCH(D72,CleanData[Claim_Amount],0))</f>
        <v>Property</v>
      </c>
      <c r="D72" s="9" t="n">
        <f aca="false">LARGE(CleanData[Claim_Amount],10)</f>
        <v>4108.95</v>
      </c>
    </row>
  </sheetData>
  <mergeCells count="4">
    <mergeCell ref="A1:F1"/>
    <mergeCell ref="A24:F24"/>
    <mergeCell ref="A51:F51"/>
    <mergeCell ref="A55:F58"/>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6C"/>
    <pageSetUpPr fitToPage="true"/>
  </sheetPr>
  <dimension ref="A1:H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8" min="2" style="1" width="16"/>
  </cols>
  <sheetData>
    <row r="1" customFormat="false" ht="18" hidden="false" customHeight="true" outlineLevel="0" collapsed="false">
      <c r="A1" s="24" t="s">
        <v>410</v>
      </c>
      <c r="B1" s="24"/>
      <c r="C1" s="24"/>
      <c r="D1" s="24"/>
      <c r="E1" s="24"/>
      <c r="F1" s="24"/>
      <c r="G1" s="24"/>
      <c r="H1" s="24"/>
    </row>
    <row r="2" customFormat="false" ht="30" hidden="false" customHeight="true" outlineLevel="0" collapsed="false">
      <c r="A2" s="25" t="s">
        <v>411</v>
      </c>
      <c r="B2" s="25"/>
      <c r="C2" s="25"/>
      <c r="D2" s="25"/>
      <c r="E2" s="25"/>
      <c r="F2" s="25"/>
      <c r="G2" s="25"/>
      <c r="H2" s="25"/>
    </row>
    <row r="3" customFormat="false" ht="15" hidden="false" customHeight="true" outlineLevel="0" collapsed="false">
      <c r="A3" s="25"/>
      <c r="B3" s="25"/>
      <c r="C3" s="25"/>
      <c r="D3" s="25"/>
      <c r="E3" s="25"/>
      <c r="F3" s="25"/>
      <c r="G3" s="25"/>
      <c r="H3" s="25"/>
    </row>
    <row r="5" customFormat="false" ht="15.75" hidden="false" customHeight="true" outlineLevel="0" collapsed="false">
      <c r="A5" s="15" t="s">
        <v>412</v>
      </c>
    </row>
    <row r="7" customFormat="false" ht="15" hidden="false" customHeight="true" outlineLevel="0" collapsed="false">
      <c r="A7" s="3" t="s">
        <v>371</v>
      </c>
      <c r="B7" s="3" t="s">
        <v>413</v>
      </c>
      <c r="C7" s="3" t="s">
        <v>414</v>
      </c>
      <c r="D7" s="3" t="s">
        <v>415</v>
      </c>
      <c r="E7" s="3" t="s">
        <v>416</v>
      </c>
      <c r="F7" s="3" t="s">
        <v>417</v>
      </c>
    </row>
    <row r="8" customFormat="false" ht="15" hidden="false" customHeight="true" outlineLevel="0" collapsed="false">
      <c r="A8" s="1" t="s">
        <v>19</v>
      </c>
      <c r="B8" s="1" t="n">
        <f aca="false">COUNTIF(CleanData[Policy_Type],A8)</f>
        <v>95</v>
      </c>
      <c r="C8" s="26" t="n">
        <f aca="false">SUMIF(CleanData[Policy_Type],A8,CleanData[Premium])</f>
        <v>32478.2</v>
      </c>
      <c r="D8" s="26" t="n">
        <f aca="false">SUMIF(CleanData[Policy_Type],A8,CleanData[Claim_Amount])</f>
        <v>105193.92</v>
      </c>
      <c r="E8" s="26" t="n">
        <f aca="false">AVERAGEIF(CleanData[Policy_Type],A8,CleanData[Premium])</f>
        <v>341.875789473684</v>
      </c>
      <c r="F8" s="26" t="n">
        <f aca="false">AVERAGEIF(CleanData[Policy_Type],A8,CleanData[Claim_Amount])</f>
        <v>1107.30442105263</v>
      </c>
    </row>
    <row r="9" customFormat="false" ht="15" hidden="false" customHeight="true" outlineLevel="0" collapsed="false">
      <c r="A9" s="1" t="s">
        <v>12</v>
      </c>
      <c r="B9" s="1" t="n">
        <f aca="false">COUNTIF(CleanData[Policy_Type],A9)</f>
        <v>61</v>
      </c>
      <c r="C9" s="26" t="n">
        <f aca="false">SUMIF(CleanData[Policy_Type],A9,CleanData[Premium])</f>
        <v>17845.82</v>
      </c>
      <c r="D9" s="26" t="n">
        <f aca="false">SUMIF(CleanData[Policy_Type],A9,CleanData[Claim_Amount])</f>
        <v>52689.8</v>
      </c>
      <c r="E9" s="26" t="n">
        <f aca="false">AVERAGEIF(CleanData[Policy_Type],A9,CleanData[Premium])</f>
        <v>292.554426229508</v>
      </c>
      <c r="F9" s="26" t="n">
        <f aca="false">AVERAGEIF(CleanData[Policy_Type],A9,CleanData[Claim_Amount])</f>
        <v>863.767213114754</v>
      </c>
    </row>
    <row r="10" customFormat="false" ht="15" hidden="false" customHeight="true" outlineLevel="0" collapsed="false">
      <c r="A10" s="1" t="s">
        <v>9</v>
      </c>
      <c r="B10" s="1" t="n">
        <f aca="false">COUNTIF(CleanData[Policy_Type],A10)</f>
        <v>56</v>
      </c>
      <c r="C10" s="26" t="n">
        <f aca="false">SUMIF(CleanData[Policy_Type],A10,CleanData[Premium])</f>
        <v>23128.94</v>
      </c>
      <c r="D10" s="26" t="n">
        <f aca="false">SUMIF(CleanData[Policy_Type],A10,CleanData[Claim_Amount])</f>
        <v>64461.5</v>
      </c>
      <c r="E10" s="26" t="n">
        <f aca="false">AVERAGEIF(CleanData[Policy_Type],A10,CleanData[Premium])</f>
        <v>413.016785714286</v>
      </c>
      <c r="F10" s="26" t="n">
        <f aca="false">AVERAGEIF(CleanData[Policy_Type],A10,CleanData[Claim_Amount])</f>
        <v>1151.09821428571</v>
      </c>
    </row>
    <row r="11" customFormat="false" ht="15" hidden="false" customHeight="true" outlineLevel="0" collapsed="false">
      <c r="A11" s="1" t="s">
        <v>16</v>
      </c>
      <c r="B11" s="1" t="n">
        <f aca="false">COUNTIF(CleanData[Policy_Type],A11)</f>
        <v>46</v>
      </c>
      <c r="C11" s="26" t="n">
        <f aca="false">SUMIF(CleanData[Policy_Type],A11,CleanData[Premium])</f>
        <v>20403.42</v>
      </c>
      <c r="D11" s="26" t="n">
        <f aca="false">SUMIF(CleanData[Policy_Type],A11,CleanData[Claim_Amount])</f>
        <v>69123.94</v>
      </c>
      <c r="E11" s="26" t="n">
        <f aca="false">AVERAGEIF(CleanData[Policy_Type],A11,CleanData[Premium])</f>
        <v>443.552608695652</v>
      </c>
      <c r="F11" s="26" t="n">
        <f aca="false">AVERAGEIF(CleanData[Policy_Type],A11,CleanData[Claim_Amount])</f>
        <v>1502.69434782609</v>
      </c>
    </row>
    <row r="12" customFormat="false" ht="15" hidden="false" customHeight="true" outlineLevel="0" collapsed="false">
      <c r="A12" s="1" t="s">
        <v>40</v>
      </c>
      <c r="B12" s="1" t="n">
        <f aca="false">COUNTIF(CleanData[Policy_Type],A12)</f>
        <v>20</v>
      </c>
      <c r="C12" s="26" t="n">
        <f aca="false">SUMIF(CleanData[Policy_Type],A12,CleanData[Premium])</f>
        <v>2125.97</v>
      </c>
      <c r="D12" s="26" t="n">
        <f aca="false">SUMIF(CleanData[Policy_Type],A12,CleanData[Claim_Amount])</f>
        <v>8038.03</v>
      </c>
      <c r="E12" s="26" t="n">
        <f aca="false">AVERAGEIF(CleanData[Policy_Type],A12,CleanData[Premium])</f>
        <v>106.2985</v>
      </c>
      <c r="F12" s="26" t="n">
        <f aca="false">AVERAGEIF(CleanData[Policy_Type],A12,CleanData[Claim_Amount])</f>
        <v>401.9015</v>
      </c>
    </row>
    <row r="14" customFormat="false" ht="15.75" hidden="false" customHeight="true" outlineLevel="0" collapsed="false">
      <c r="A14" s="15" t="s">
        <v>418</v>
      </c>
    </row>
    <row r="16" customFormat="false" ht="15" hidden="false" customHeight="true" outlineLevel="0" collapsed="false">
      <c r="A16" s="3" t="s">
        <v>419</v>
      </c>
      <c r="B16" s="3" t="s">
        <v>420</v>
      </c>
      <c r="C16" s="3" t="s">
        <v>421</v>
      </c>
      <c r="D16" s="3" t="s">
        <v>422</v>
      </c>
    </row>
    <row r="17" customFormat="false" ht="15" hidden="false" customHeight="true" outlineLevel="0" collapsed="false">
      <c r="A17" s="1" t="s">
        <v>10</v>
      </c>
      <c r="B17" s="1" t="n">
        <f aca="false">COUNTIF(CleanData[Claim_Status],A17)</f>
        <v>130</v>
      </c>
      <c r="C17" s="27" t="n">
        <f aca="false">B17/COUNT(CleanData[Premium])</f>
        <v>0.467625899280576</v>
      </c>
      <c r="D17" s="26" t="n">
        <f aca="false">SUMIF(CleanData[Claim_Status],A17,CleanData[Claim_Amount])</f>
        <v>0</v>
      </c>
    </row>
    <row r="18" customFormat="false" ht="15" hidden="false" customHeight="true" outlineLevel="0" collapsed="false">
      <c r="A18" s="1" t="s">
        <v>17</v>
      </c>
      <c r="B18" s="1" t="n">
        <f aca="false">COUNTIF(CleanData[Claim_Status],A18)</f>
        <v>62</v>
      </c>
      <c r="C18" s="27" t="n">
        <f aca="false">B18/COUNT(CleanData[Premium])</f>
        <v>0.223021582733813</v>
      </c>
      <c r="D18" s="26" t="n">
        <f aca="false">SUMIF(CleanData[Claim_Status],A18,CleanData[Claim_Amount])</f>
        <v>128634.35</v>
      </c>
    </row>
    <row r="19" customFormat="false" ht="15" hidden="false" customHeight="true" outlineLevel="0" collapsed="false">
      <c r="A19" s="1" t="s">
        <v>13</v>
      </c>
      <c r="B19" s="1" t="n">
        <f aca="false">COUNTIF(CleanData[Claim_Status],A19)</f>
        <v>40</v>
      </c>
      <c r="C19" s="27" t="n">
        <f aca="false">B19/COUNT(CleanData[Premium])</f>
        <v>0.143884892086331</v>
      </c>
      <c r="D19" s="26" t="n">
        <f aca="false">SUMIF(CleanData[Claim_Status],A19,CleanData[Claim_Amount])</f>
        <v>84573.57</v>
      </c>
    </row>
    <row r="20" customFormat="false" ht="15" hidden="false" customHeight="true" outlineLevel="0" collapsed="false">
      <c r="A20" s="1" t="s">
        <v>30</v>
      </c>
      <c r="B20" s="1" t="n">
        <f aca="false">COUNTIF(CleanData[Claim_Status],A20)</f>
        <v>30</v>
      </c>
      <c r="C20" s="27" t="n">
        <f aca="false">B20/COUNT(CleanData[Premium])</f>
        <v>0.107913669064748</v>
      </c>
      <c r="D20" s="26" t="n">
        <f aca="false">SUMIF(CleanData[Claim_Status],A20,CleanData[Claim_Amount])</f>
        <v>63860.06</v>
      </c>
    </row>
    <row r="21" customFormat="false" ht="15" hidden="false" customHeight="true" outlineLevel="0" collapsed="false">
      <c r="A21" s="1" t="s">
        <v>38</v>
      </c>
      <c r="B21" s="1" t="n">
        <f aca="false">COUNTIF(CleanData[Claim_Status],A21)</f>
        <v>16</v>
      </c>
      <c r="C21" s="27" t="n">
        <f aca="false">B21/COUNT(CleanData[Premium])</f>
        <v>0.0575539568345324</v>
      </c>
      <c r="D21" s="26" t="n">
        <f aca="false">SUMIF(CleanData[Claim_Status],A21,CleanData[Claim_Amount])</f>
        <v>22439.21</v>
      </c>
    </row>
    <row r="23" customFormat="false" ht="15.75" hidden="false" customHeight="true" outlineLevel="0" collapsed="false">
      <c r="A23" s="15" t="s">
        <v>423</v>
      </c>
    </row>
    <row r="25" customFormat="false" ht="15" hidden="false" customHeight="true" outlineLevel="0" collapsed="false">
      <c r="A25" s="3" t="s">
        <v>371</v>
      </c>
      <c r="B25" s="3" t="s">
        <v>10</v>
      </c>
      <c r="C25" s="3" t="s">
        <v>17</v>
      </c>
      <c r="D25" s="3" t="s">
        <v>13</v>
      </c>
      <c r="E25" s="3" t="s">
        <v>30</v>
      </c>
      <c r="F25" s="3" t="s">
        <v>38</v>
      </c>
      <c r="G25" s="3" t="s">
        <v>424</v>
      </c>
    </row>
    <row r="26" customFormat="false" ht="15" hidden="false" customHeight="true" outlineLevel="0" collapsed="false">
      <c r="A26" s="1" t="s">
        <v>19</v>
      </c>
      <c r="B26" s="1" t="n">
        <f aca="false">COUNTIFS(CleanData[Policy_Type],$A26,CleanData[Claim_Status],B$25)</f>
        <v>41</v>
      </c>
      <c r="C26" s="1" t="n">
        <f aca="false">COUNTIFS(CleanData[Policy_Type],$A26,CleanData[Claim_Status],C$25)</f>
        <v>23</v>
      </c>
      <c r="D26" s="1" t="n">
        <f aca="false">COUNTIFS(CleanData[Policy_Type],$A26,CleanData[Claim_Status],D$25)</f>
        <v>14</v>
      </c>
      <c r="E26" s="1" t="n">
        <f aca="false">COUNTIFS(CleanData[Policy_Type],$A26,CleanData[Claim_Status],E$25)</f>
        <v>12</v>
      </c>
      <c r="F26" s="1" t="n">
        <f aca="false">COUNTIFS(CleanData[Policy_Type],$A26,CleanData[Claim_Status],F$25)</f>
        <v>5</v>
      </c>
      <c r="G26" s="18" t="n">
        <f aca="false">SUM(B26:F26)</f>
        <v>95</v>
      </c>
    </row>
    <row r="27" customFormat="false" ht="15" hidden="false" customHeight="true" outlineLevel="0" collapsed="false">
      <c r="A27" s="1" t="s">
        <v>12</v>
      </c>
      <c r="B27" s="1" t="n">
        <f aca="false">COUNTIFS(CleanData[Policy_Type],$A27,CleanData[Claim_Status],B$25)</f>
        <v>28</v>
      </c>
      <c r="C27" s="1" t="n">
        <f aca="false">COUNTIFS(CleanData[Policy_Type],$A27,CleanData[Claim_Status],C$25)</f>
        <v>12</v>
      </c>
      <c r="D27" s="1" t="n">
        <f aca="false">COUNTIFS(CleanData[Policy_Type],$A27,CleanData[Claim_Status],D$25)</f>
        <v>14</v>
      </c>
      <c r="E27" s="1" t="n">
        <f aca="false">COUNTIFS(CleanData[Policy_Type],$A27,CleanData[Claim_Status],E$25)</f>
        <v>5</v>
      </c>
      <c r="F27" s="1" t="n">
        <f aca="false">COUNTIFS(CleanData[Policy_Type],$A27,CleanData[Claim_Status],F$25)</f>
        <v>2</v>
      </c>
      <c r="G27" s="18" t="n">
        <f aca="false">SUM(B27:F27)</f>
        <v>61</v>
      </c>
    </row>
    <row r="28" customFormat="false" ht="15" hidden="false" customHeight="true" outlineLevel="0" collapsed="false">
      <c r="A28" s="1" t="s">
        <v>9</v>
      </c>
      <c r="B28" s="1" t="n">
        <f aca="false">COUNTIFS(CleanData[Policy_Type],$A28,CleanData[Claim_Status],B$25)</f>
        <v>31</v>
      </c>
      <c r="C28" s="1" t="n">
        <f aca="false">COUNTIFS(CleanData[Policy_Type],$A28,CleanData[Claim_Status],C$25)</f>
        <v>13</v>
      </c>
      <c r="D28" s="1" t="n">
        <f aca="false">COUNTIFS(CleanData[Policy_Type],$A28,CleanData[Claim_Status],D$25)</f>
        <v>4</v>
      </c>
      <c r="E28" s="1" t="n">
        <f aca="false">COUNTIFS(CleanData[Policy_Type],$A28,CleanData[Claim_Status],E$25)</f>
        <v>4</v>
      </c>
      <c r="F28" s="1" t="n">
        <f aca="false">COUNTIFS(CleanData[Policy_Type],$A28,CleanData[Claim_Status],F$25)</f>
        <v>4</v>
      </c>
      <c r="G28" s="18" t="n">
        <f aca="false">SUM(B28:F28)</f>
        <v>56</v>
      </c>
    </row>
    <row r="29" customFormat="false" ht="15" hidden="false" customHeight="true" outlineLevel="0" collapsed="false">
      <c r="A29" s="1" t="s">
        <v>16</v>
      </c>
      <c r="B29" s="1" t="n">
        <f aca="false">COUNTIFS(CleanData[Policy_Type],$A29,CleanData[Claim_Status],B$25)</f>
        <v>21</v>
      </c>
      <c r="C29" s="1" t="n">
        <f aca="false">COUNTIFS(CleanData[Policy_Type],$A29,CleanData[Claim_Status],C$25)</f>
        <v>10</v>
      </c>
      <c r="D29" s="1" t="n">
        <f aca="false">COUNTIFS(CleanData[Policy_Type],$A29,CleanData[Claim_Status],D$25)</f>
        <v>7</v>
      </c>
      <c r="E29" s="1" t="n">
        <f aca="false">COUNTIFS(CleanData[Policy_Type],$A29,CleanData[Claim_Status],E$25)</f>
        <v>5</v>
      </c>
      <c r="F29" s="1" t="n">
        <f aca="false">COUNTIFS(CleanData[Policy_Type],$A29,CleanData[Claim_Status],F$25)</f>
        <v>3</v>
      </c>
      <c r="G29" s="18" t="n">
        <f aca="false">SUM(B29:F29)</f>
        <v>46</v>
      </c>
    </row>
    <row r="30" customFormat="false" ht="15" hidden="false" customHeight="true" outlineLevel="0" collapsed="false">
      <c r="A30" s="1" t="s">
        <v>40</v>
      </c>
      <c r="B30" s="1" t="n">
        <f aca="false">COUNTIFS(CleanData[Policy_Type],$A30,CleanData[Claim_Status],B$25)</f>
        <v>9</v>
      </c>
      <c r="C30" s="1" t="n">
        <f aca="false">COUNTIFS(CleanData[Policy_Type],$A30,CleanData[Claim_Status],C$25)</f>
        <v>4</v>
      </c>
      <c r="D30" s="1" t="n">
        <f aca="false">COUNTIFS(CleanData[Policy_Type],$A30,CleanData[Claim_Status],D$25)</f>
        <v>1</v>
      </c>
      <c r="E30" s="1" t="n">
        <f aca="false">COUNTIFS(CleanData[Policy_Type],$A30,CleanData[Claim_Status],E$25)</f>
        <v>4</v>
      </c>
      <c r="F30" s="1" t="n">
        <f aca="false">COUNTIFS(CleanData[Policy_Type],$A30,CleanData[Claim_Status],F$25)</f>
        <v>2</v>
      </c>
      <c r="G30" s="18" t="n">
        <f aca="false">SUM(B30:F30)</f>
        <v>20</v>
      </c>
    </row>
    <row r="33" customFormat="false" ht="15.75" hidden="false" customHeight="true" outlineLevel="0" collapsed="false">
      <c r="A33" s="15" t="s">
        <v>425</v>
      </c>
    </row>
    <row r="35" customFormat="false" ht="15" hidden="false" customHeight="true" outlineLevel="0" collapsed="false">
      <c r="A35" s="3" t="s">
        <v>426</v>
      </c>
      <c r="B35" s="3" t="s">
        <v>413</v>
      </c>
      <c r="C35" s="3" t="s">
        <v>414</v>
      </c>
    </row>
    <row r="36" customFormat="false" ht="15" hidden="false" customHeight="true" outlineLevel="0" collapsed="false">
      <c r="A36" s="1" t="s">
        <v>427</v>
      </c>
      <c r="B36" s="1" t="n">
        <f aca="false">COUNTIF(CleanData[Policy_Month],A36)</f>
        <v>18</v>
      </c>
      <c r="C36" s="26" t="n">
        <f aca="false">SUMIF(CleanData[Policy_Month],A36,CleanData[Premium])</f>
        <v>6295.46</v>
      </c>
    </row>
    <row r="37" customFormat="false" ht="15" hidden="false" customHeight="true" outlineLevel="0" collapsed="false">
      <c r="A37" s="1" t="s">
        <v>428</v>
      </c>
      <c r="B37" s="1" t="n">
        <f aca="false">COUNTIF(CleanData[Policy_Month],A37)</f>
        <v>10</v>
      </c>
      <c r="C37" s="26" t="n">
        <f aca="false">SUMIF(CleanData[Policy_Month],A37,CleanData[Premium])</f>
        <v>4038.68</v>
      </c>
    </row>
    <row r="38" customFormat="false" ht="15" hidden="false" customHeight="true" outlineLevel="0" collapsed="false">
      <c r="A38" s="1" t="s">
        <v>429</v>
      </c>
      <c r="B38" s="1" t="n">
        <f aca="false">COUNTIF(CleanData[Policy_Month],A38)</f>
        <v>22</v>
      </c>
      <c r="C38" s="26" t="n">
        <f aca="false">SUMIF(CleanData[Policy_Month],A38,CleanData[Premium])</f>
        <v>7459.37</v>
      </c>
    </row>
    <row r="39" customFormat="false" ht="15" hidden="false" customHeight="true" outlineLevel="0" collapsed="false">
      <c r="A39" s="1" t="s">
        <v>430</v>
      </c>
      <c r="B39" s="1" t="n">
        <f aca="false">COUNTIF(CleanData[Policy_Month],A39)</f>
        <v>7</v>
      </c>
      <c r="C39" s="26" t="n">
        <f aca="false">SUMIF(CleanData[Policy_Month],A39,CleanData[Premium])</f>
        <v>2547.19</v>
      </c>
    </row>
    <row r="40" customFormat="false" ht="15" hidden="false" customHeight="true" outlineLevel="0" collapsed="false">
      <c r="A40" s="1" t="s">
        <v>431</v>
      </c>
      <c r="B40" s="1" t="n">
        <f aca="false">COUNTIF(CleanData[Policy_Month],A40)</f>
        <v>17</v>
      </c>
      <c r="C40" s="26" t="n">
        <f aca="false">SUMIF(CleanData[Policy_Month],A40,CleanData[Premium])</f>
        <v>5436.37</v>
      </c>
    </row>
    <row r="41" customFormat="false" ht="15" hidden="false" customHeight="true" outlineLevel="0" collapsed="false">
      <c r="A41" s="1" t="s">
        <v>432</v>
      </c>
      <c r="B41" s="1" t="n">
        <f aca="false">COUNTIF(CleanData[Policy_Month],A41)</f>
        <v>8</v>
      </c>
      <c r="C41" s="26" t="n">
        <f aca="false">SUMIF(CleanData[Policy_Month],A41,CleanData[Premium])</f>
        <v>2710.32</v>
      </c>
    </row>
    <row r="42" customFormat="false" ht="15" hidden="false" customHeight="true" outlineLevel="0" collapsed="false">
      <c r="A42" s="1" t="s">
        <v>433</v>
      </c>
      <c r="B42" s="1" t="n">
        <f aca="false">COUNTIF(CleanData[Policy_Month],A42)</f>
        <v>20</v>
      </c>
      <c r="C42" s="26" t="n">
        <f aca="false">SUMIF(CleanData[Policy_Month],A42,CleanData[Premium])</f>
        <v>6868.1</v>
      </c>
    </row>
    <row r="43" customFormat="false" ht="15" hidden="false" customHeight="true" outlineLevel="0" collapsed="false">
      <c r="A43" s="1" t="s">
        <v>434</v>
      </c>
      <c r="B43" s="1" t="n">
        <f aca="false">COUNTIF(CleanData[Policy_Month],A43)</f>
        <v>10</v>
      </c>
      <c r="C43" s="26" t="n">
        <f aca="false">SUMIF(CleanData[Policy_Month],A43,CleanData[Premium])</f>
        <v>3048.29</v>
      </c>
    </row>
    <row r="44" customFormat="false" ht="15" hidden="false" customHeight="true" outlineLevel="0" collapsed="false">
      <c r="A44" s="1" t="s">
        <v>435</v>
      </c>
      <c r="B44" s="1" t="n">
        <f aca="false">COUNTIF(CleanData[Policy_Month],A44)</f>
        <v>17</v>
      </c>
      <c r="C44" s="26" t="n">
        <f aca="false">SUMIF(CleanData[Policy_Month],A44,CleanData[Premium])</f>
        <v>5638.44</v>
      </c>
    </row>
    <row r="45" customFormat="false" ht="15" hidden="false" customHeight="true" outlineLevel="0" collapsed="false">
      <c r="A45" s="1" t="s">
        <v>436</v>
      </c>
      <c r="B45" s="1" t="n">
        <f aca="false">COUNTIF(CleanData[Policy_Month],A45)</f>
        <v>29</v>
      </c>
      <c r="C45" s="26" t="n">
        <f aca="false">SUMIF(CleanData[Policy_Month],A45,CleanData[Premium])</f>
        <v>9733.35</v>
      </c>
    </row>
    <row r="46" customFormat="false" ht="15" hidden="false" customHeight="true" outlineLevel="0" collapsed="false">
      <c r="A46" s="1" t="s">
        <v>437</v>
      </c>
      <c r="B46" s="1" t="n">
        <f aca="false">COUNTIF(CleanData[Policy_Month],A46)</f>
        <v>14</v>
      </c>
      <c r="C46" s="26" t="n">
        <f aca="false">SUMIF(CleanData[Policy_Month],A46,CleanData[Premium])</f>
        <v>4724.88</v>
      </c>
    </row>
    <row r="47" customFormat="false" ht="15" hidden="false" customHeight="true" outlineLevel="0" collapsed="false">
      <c r="A47" s="1" t="s">
        <v>438</v>
      </c>
      <c r="B47" s="1" t="n">
        <f aca="false">COUNTIF(CleanData[Policy_Month],A47)</f>
        <v>15</v>
      </c>
      <c r="C47" s="26" t="n">
        <f aca="false">SUMIF(CleanData[Policy_Month],A47,CleanData[Premium])</f>
        <v>5823.8</v>
      </c>
    </row>
    <row r="48" customFormat="false" ht="15" hidden="false" customHeight="true" outlineLevel="0" collapsed="false">
      <c r="A48" s="1" t="s">
        <v>439</v>
      </c>
      <c r="B48" s="1" t="n">
        <f aca="false">COUNTIF(CleanData[Policy_Month],A48)</f>
        <v>21</v>
      </c>
      <c r="C48" s="26" t="n">
        <f aca="false">SUMIF(CleanData[Policy_Month],A48,CleanData[Premium])</f>
        <v>7703.23</v>
      </c>
    </row>
    <row r="49" customFormat="false" ht="15" hidden="false" customHeight="true" outlineLevel="0" collapsed="false">
      <c r="A49" s="1" t="s">
        <v>440</v>
      </c>
      <c r="B49" s="1" t="n">
        <f aca="false">COUNTIF(CleanData[Policy_Month],A49)</f>
        <v>10</v>
      </c>
      <c r="C49" s="26" t="n">
        <f aca="false">SUMIF(CleanData[Policy_Month],A49,CleanData[Premium])</f>
        <v>3136.75</v>
      </c>
    </row>
    <row r="50" customFormat="false" ht="15" hidden="false" customHeight="true" outlineLevel="0" collapsed="false">
      <c r="A50" s="1" t="s">
        <v>441</v>
      </c>
      <c r="B50" s="1" t="n">
        <f aca="false">COUNTIF(CleanData[Policy_Month],A50)</f>
        <v>11</v>
      </c>
      <c r="C50" s="26" t="n">
        <f aca="false">SUMIF(CleanData[Policy_Month],A50,CleanData[Premium])</f>
        <v>3400.27</v>
      </c>
    </row>
    <row r="51" customFormat="false" ht="15" hidden="false" customHeight="true" outlineLevel="0" collapsed="false">
      <c r="A51" s="1" t="s">
        <v>442</v>
      </c>
      <c r="B51" s="1" t="n">
        <f aca="false">COUNTIF(CleanData[Policy_Month],A51)</f>
        <v>15</v>
      </c>
      <c r="C51" s="26" t="n">
        <f aca="false">SUMIF(CleanData[Policy_Month],A51,CleanData[Premium])</f>
        <v>5110.92</v>
      </c>
    </row>
    <row r="52" customFormat="false" ht="15" hidden="false" customHeight="true" outlineLevel="0" collapsed="false">
      <c r="A52" s="1" t="s">
        <v>443</v>
      </c>
      <c r="B52" s="1" t="n">
        <f aca="false">COUNTIF(CleanData[Policy_Month],A52)</f>
        <v>10</v>
      </c>
      <c r="C52" s="26" t="n">
        <f aca="false">SUMIF(CleanData[Policy_Month],A52,CleanData[Premium])</f>
        <v>3752.16</v>
      </c>
    </row>
    <row r="53" customFormat="false" ht="15" hidden="false" customHeight="true" outlineLevel="0" collapsed="false">
      <c r="A53" s="1" t="s">
        <v>444</v>
      </c>
      <c r="B53" s="1" t="n">
        <f aca="false">COUNTIF(CleanData[Policy_Month],A53)</f>
        <v>15</v>
      </c>
      <c r="C53" s="26" t="n">
        <f aca="false">SUMIF(CleanData[Policy_Month],A53,CleanData[Premium])</f>
        <v>5539.84</v>
      </c>
    </row>
    <row r="54" customFormat="false" ht="15" hidden="false" customHeight="true" outlineLevel="0" collapsed="false">
      <c r="A54" s="1" t="s">
        <v>445</v>
      </c>
      <c r="B54" s="1" t="n">
        <f aca="false">COUNTIF(CleanData[Policy_Month],A54)</f>
        <v>9</v>
      </c>
      <c r="C54" s="26" t="n">
        <f aca="false">SUMIF(CleanData[Policy_Month],A54,CleanData[Premium])</f>
        <v>3014.93</v>
      </c>
    </row>
    <row r="56" customFormat="false" ht="15.75" hidden="false" customHeight="true" outlineLevel="0" collapsed="false">
      <c r="A56" s="15" t="s">
        <v>446</v>
      </c>
    </row>
    <row r="58" customFormat="false" ht="15" hidden="false" customHeight="true" outlineLevel="0" collapsed="false">
      <c r="A58" s="3" t="s">
        <v>447</v>
      </c>
      <c r="B58" s="3" t="s">
        <v>420</v>
      </c>
      <c r="C58" s="3" t="s">
        <v>416</v>
      </c>
      <c r="D58" s="3" t="s">
        <v>417</v>
      </c>
    </row>
    <row r="59" customFormat="false" ht="15" hidden="false" customHeight="true" outlineLevel="0" collapsed="false">
      <c r="A59" s="1" t="s">
        <v>448</v>
      </c>
      <c r="B59" s="1" t="n">
        <f aca="false">COUNTIF(CleanData[Age_Group],A59)</f>
        <v>37</v>
      </c>
      <c r="C59" s="26" t="n">
        <f aca="false">AVERAGEIF(CleanData[Age_Group],A59,CleanData[Premium])</f>
        <v>345.790540540541</v>
      </c>
      <c r="D59" s="26" t="n">
        <f aca="false">AVERAGEIF(CleanData[Age_Group],A59,CleanData[Claim_Amount])</f>
        <v>817.677837837838</v>
      </c>
    </row>
    <row r="60" customFormat="false" ht="15" hidden="false" customHeight="true" outlineLevel="0" collapsed="false">
      <c r="A60" s="1" t="s">
        <v>449</v>
      </c>
      <c r="B60" s="1" t="n">
        <f aca="false">COUNTIF(CleanData[Age_Group],A60)</f>
        <v>77</v>
      </c>
      <c r="C60" s="26" t="n">
        <f aca="false">AVERAGEIF(CleanData[Age_Group],A60,CleanData[Premium])</f>
        <v>346.676623376623</v>
      </c>
      <c r="D60" s="26" t="n">
        <f aca="false">AVERAGEIF(CleanData[Age_Group],A60,CleanData[Claim_Amount])</f>
        <v>1120.98857142857</v>
      </c>
    </row>
    <row r="61" customFormat="false" ht="15" hidden="false" customHeight="true" outlineLevel="0" collapsed="false">
      <c r="A61" s="1" t="s">
        <v>450</v>
      </c>
      <c r="B61" s="1" t="n">
        <f aca="false">COUNTIF(CleanData[Age_Group],A61)</f>
        <v>94</v>
      </c>
      <c r="C61" s="26" t="n">
        <f aca="false">AVERAGEIF(CleanData[Age_Group],A61,CleanData[Premium])</f>
        <v>334.782021276596</v>
      </c>
      <c r="D61" s="26" t="n">
        <f aca="false">AVERAGEIF(CleanData[Age_Group],A61,CleanData[Claim_Amount])</f>
        <v>981.33914893617</v>
      </c>
    </row>
    <row r="62" customFormat="false" ht="15" hidden="false" customHeight="true" outlineLevel="0" collapsed="false">
      <c r="A62" s="1" t="s">
        <v>451</v>
      </c>
      <c r="B62" s="1" t="n">
        <f aca="false">COUNTIF(CleanData[Age_Group],A62)</f>
        <v>70</v>
      </c>
      <c r="C62" s="26" t="n">
        <f aca="false">AVERAGEIF(CleanData[Age_Group],A62,CleanData[Premium])</f>
        <v>357.492714285714</v>
      </c>
      <c r="D62" s="26" t="n">
        <f aca="false">AVERAGEIF(CleanData[Age_Group],A62,CleanData[Claim_Amount])</f>
        <v>1295.58728571429</v>
      </c>
    </row>
    <row r="65" customFormat="false" ht="15" hidden="false" customHeight="true" outlineLevel="0" collapsed="false">
      <c r="A65" s="28" t="s">
        <v>452</v>
      </c>
      <c r="B65" s="28"/>
      <c r="C65" s="28"/>
      <c r="D65" s="28"/>
      <c r="E65" s="28"/>
      <c r="F65" s="28"/>
      <c r="G65" s="28"/>
      <c r="H65" s="28"/>
    </row>
    <row r="66" customFormat="false" ht="15" hidden="false" customHeight="true" outlineLevel="0" collapsed="false">
      <c r="A66" s="28"/>
      <c r="B66" s="28"/>
      <c r="C66" s="28"/>
      <c r="D66" s="28"/>
      <c r="E66" s="28"/>
      <c r="F66" s="28"/>
      <c r="G66" s="28"/>
      <c r="H66" s="28"/>
    </row>
    <row r="67" customFormat="false" ht="15" hidden="false" customHeight="true" outlineLevel="0" collapsed="false">
      <c r="A67" s="28"/>
      <c r="B67" s="28"/>
      <c r="C67" s="28"/>
      <c r="D67" s="28"/>
      <c r="E67" s="28"/>
      <c r="F67" s="28"/>
      <c r="G67" s="28"/>
      <c r="H67" s="28"/>
    </row>
  </sheetData>
  <mergeCells count="3">
    <mergeCell ref="A1:H1"/>
    <mergeCell ref="A2:H3"/>
    <mergeCell ref="A65:H67"/>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N29"/>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4" min="1" style="1" width="13"/>
  </cols>
  <sheetData>
    <row r="1" customFormat="false" ht="27.75" hidden="false" customHeight="true" outlineLevel="0" collapsed="false">
      <c r="A1" s="29" t="s">
        <v>453</v>
      </c>
      <c r="B1" s="29"/>
      <c r="C1" s="29"/>
      <c r="D1" s="29"/>
      <c r="E1" s="29"/>
      <c r="F1" s="29"/>
      <c r="G1" s="29"/>
      <c r="H1" s="29"/>
      <c r="I1" s="29"/>
      <c r="J1" s="29"/>
      <c r="K1" s="29"/>
      <c r="L1" s="29"/>
      <c r="M1" s="29"/>
      <c r="N1" s="29"/>
    </row>
    <row r="3" customFormat="false" ht="18" hidden="false" customHeight="true" outlineLevel="0" collapsed="false">
      <c r="A3" s="30" t="s">
        <v>454</v>
      </c>
      <c r="B3" s="30"/>
      <c r="C3" s="30"/>
      <c r="D3" s="30"/>
      <c r="E3" s="30"/>
      <c r="F3" s="30"/>
      <c r="G3" s="30"/>
      <c r="H3" s="30"/>
      <c r="I3" s="30"/>
      <c r="J3" s="30"/>
      <c r="K3" s="30"/>
      <c r="L3" s="30"/>
      <c r="M3" s="30"/>
      <c r="N3" s="30"/>
    </row>
    <row r="4" customFormat="false" ht="19.5" hidden="false" customHeight="true" outlineLevel="0" collapsed="false">
      <c r="A4" s="31" t="s">
        <v>455</v>
      </c>
      <c r="B4" s="32" t="s">
        <v>456</v>
      </c>
      <c r="D4" s="31" t="s">
        <v>457</v>
      </c>
      <c r="E4" s="32" t="s">
        <v>456</v>
      </c>
      <c r="G4" s="31" t="s">
        <v>458</v>
      </c>
      <c r="H4" s="32" t="s">
        <v>456</v>
      </c>
    </row>
    <row r="6" customFormat="false" ht="15" hidden="false" customHeight="true" outlineLevel="0" collapsed="false">
      <c r="A6" s="33" t="s">
        <v>459</v>
      </c>
      <c r="B6" s="33"/>
      <c r="C6" s="33"/>
      <c r="D6" s="33"/>
      <c r="E6" s="33"/>
      <c r="F6" s="33"/>
      <c r="G6" s="33"/>
      <c r="H6" s="33"/>
      <c r="I6" s="33"/>
      <c r="J6" s="33"/>
      <c r="K6" s="33"/>
      <c r="L6" s="33"/>
      <c r="M6" s="33"/>
      <c r="N6" s="33"/>
    </row>
    <row r="7" customFormat="false" ht="19.5" hidden="false" customHeight="true" outlineLevel="0" collapsed="false">
      <c r="A7" s="34" t="s">
        <v>460</v>
      </c>
      <c r="B7" s="34"/>
      <c r="D7" s="35" t="s">
        <v>461</v>
      </c>
      <c r="E7" s="35"/>
      <c r="G7" s="36" t="s">
        <v>462</v>
      </c>
      <c r="H7" s="36"/>
      <c r="J7" s="37" t="s">
        <v>463</v>
      </c>
      <c r="K7" s="37"/>
    </row>
    <row r="8" customFormat="false" ht="21.75" hidden="false" customHeight="true" outlineLevel="0" collapsed="false">
      <c r="A8" s="38" t="n">
        <f aca="false">SUMIFS(CleanData[Premium],CleanData[Policy_Type],IF($B$4="All","*",$B$4),CleanData[Claim_Status],IF($E$4="All","*",$E$4),CleanData[Age_Group],IF($H$4="All","*",$H$4))</f>
        <v>95982.35</v>
      </c>
      <c r="B8" s="38"/>
      <c r="D8" s="38" t="n">
        <f aca="false">SUMIFS(CleanData[Claim_Amount],CleanData[Policy_Type],IF($B$4="All","*",$B$4),CleanData[Claim_Status],IF($E$4="All","*",$E$4),CleanData[Age_Group],IF($H$4="All","*",$H$4))</f>
        <v>299507.19</v>
      </c>
      <c r="E8" s="38"/>
      <c r="G8" s="39" t="n">
        <f aca="false">COUNTIFS(CleanData[Policy_Type],IF($B$4="All","*",$B$4),CleanData[Claim_Status],IF($E$4="All","*",$E$4),CleanData[Age_Group],IF($H$4="All","*",$H$4))</f>
        <v>278</v>
      </c>
      <c r="H8" s="39"/>
      <c r="J8" s="40" t="n">
        <f aca="false">IFERROR(COUNTIFS(CleanData[Policy_Type],IF($B$4="All","*",$B$4),CleanData[Claim_Status],"Approved",CleanData[Age_Group],IF($H$4="All","*",$H$4))/COUNTIFS(CleanData[Policy_Type],IF($B$4="All","*",$B$4),CleanData[Claim_Status],IF($E$4="All","*",$E$4),CleanData[Age_Group],IF($H$4="All","*",$H$4)),0)</f>
        <v>0.223021582733813</v>
      </c>
      <c r="K8" s="40"/>
    </row>
    <row r="9" customFormat="false" ht="15" hidden="false" customHeight="true" outlineLevel="0" collapsed="false">
      <c r="A9" s="38"/>
      <c r="B9" s="38"/>
      <c r="D9" s="38"/>
      <c r="E9" s="38"/>
      <c r="G9" s="39"/>
      <c r="H9" s="39"/>
      <c r="J9" s="40"/>
      <c r="K9" s="40"/>
    </row>
    <row r="12" customFormat="false" ht="15" hidden="false" customHeight="true" outlineLevel="0" collapsed="false">
      <c r="A12" s="41" t="s">
        <v>464</v>
      </c>
      <c r="B12" s="41"/>
      <c r="C12" s="41"/>
      <c r="D12" s="41"/>
      <c r="E12" s="41"/>
      <c r="F12" s="41"/>
      <c r="G12" s="41"/>
      <c r="H12" s="41"/>
      <c r="I12" s="41"/>
      <c r="J12" s="41"/>
      <c r="K12" s="41"/>
      <c r="L12" s="41"/>
      <c r="M12" s="41"/>
      <c r="N12" s="41"/>
    </row>
    <row r="14" customFormat="false" ht="15" hidden="false" customHeight="true" outlineLevel="0" collapsed="false">
      <c r="A14" s="42" t="s">
        <v>465</v>
      </c>
    </row>
    <row r="15" customFormat="false" ht="15" hidden="false" customHeight="true" outlineLevel="0" collapsed="false">
      <c r="A15" s="43" t="s">
        <v>466</v>
      </c>
      <c r="B15" s="43" t="s">
        <v>420</v>
      </c>
      <c r="C15" s="43" t="s">
        <v>414</v>
      </c>
    </row>
    <row r="16" customFormat="false" ht="15" hidden="false" customHeight="true" outlineLevel="0" collapsed="false">
      <c r="A16" s="44" t="s">
        <v>19</v>
      </c>
      <c r="B16" s="1" t="n">
        <f aca="false">COUNTIFS(CleanData[Policy_Type],A16,CleanData[Claim_Status],IF($E$4="All","*",$E$4),CleanData[Age_Group],IF($H$4="All","*",$H$4))</f>
        <v>95</v>
      </c>
      <c r="C16" s="26" t="n">
        <f aca="false">SUMIFS(CleanData[Premium],CleanData[Policy_Type],A16,CleanData[Claim_Status],IF($E$4="All","*",$E$4),CleanData[Age_Group],IF($H$4="All","*",$H$4))</f>
        <v>32478.2</v>
      </c>
    </row>
    <row r="17" customFormat="false" ht="15" hidden="false" customHeight="true" outlineLevel="0" collapsed="false">
      <c r="A17" s="44" t="s">
        <v>12</v>
      </c>
      <c r="B17" s="1" t="n">
        <f aca="false">COUNTIFS(CleanData[Policy_Type],A17,CleanData[Claim_Status],IF($E$4="All","*",$E$4),CleanData[Age_Group],IF($H$4="All","*",$H$4))</f>
        <v>61</v>
      </c>
      <c r="C17" s="26" t="n">
        <f aca="false">SUMIFS(CleanData[Premium],CleanData[Policy_Type],A17,CleanData[Claim_Status],IF($E$4="All","*",$E$4),CleanData[Age_Group],IF($H$4="All","*",$H$4))</f>
        <v>17845.82</v>
      </c>
    </row>
    <row r="18" customFormat="false" ht="15" hidden="false" customHeight="true" outlineLevel="0" collapsed="false">
      <c r="A18" s="44" t="s">
        <v>9</v>
      </c>
      <c r="B18" s="1" t="n">
        <f aca="false">COUNTIFS(CleanData[Policy_Type],A18,CleanData[Claim_Status],IF($E$4="All","*",$E$4),CleanData[Age_Group],IF($H$4="All","*",$H$4))</f>
        <v>56</v>
      </c>
      <c r="C18" s="26" t="n">
        <f aca="false">SUMIFS(CleanData[Premium],CleanData[Policy_Type],A18,CleanData[Claim_Status],IF($E$4="All","*",$E$4),CleanData[Age_Group],IF($H$4="All","*",$H$4))</f>
        <v>23128.94</v>
      </c>
    </row>
    <row r="19" customFormat="false" ht="15" hidden="false" customHeight="true" outlineLevel="0" collapsed="false">
      <c r="A19" s="44" t="s">
        <v>16</v>
      </c>
      <c r="B19" s="1" t="n">
        <f aca="false">COUNTIFS(CleanData[Policy_Type],A19,CleanData[Claim_Status],IF($E$4="All","*",$E$4),CleanData[Age_Group],IF($H$4="All","*",$H$4))</f>
        <v>46</v>
      </c>
      <c r="C19" s="26" t="n">
        <f aca="false">SUMIFS(CleanData[Premium],CleanData[Policy_Type],A19,CleanData[Claim_Status],IF($E$4="All","*",$E$4),CleanData[Age_Group],IF($H$4="All","*",$H$4))</f>
        <v>20403.42</v>
      </c>
    </row>
    <row r="20" customFormat="false" ht="15" hidden="false" customHeight="true" outlineLevel="0" collapsed="false">
      <c r="A20" s="44" t="s">
        <v>40</v>
      </c>
      <c r="B20" s="1" t="n">
        <f aca="false">COUNTIFS(CleanData[Policy_Type],A20,CleanData[Claim_Status],IF($E$4="All","*",$E$4),CleanData[Age_Group],IF($H$4="All","*",$H$4))</f>
        <v>20</v>
      </c>
      <c r="C20" s="26" t="n">
        <f aca="false">SUMIFS(CleanData[Premium],CleanData[Policy_Type],A20,CleanData[Claim_Status],IF($E$4="All","*",$E$4),CleanData[Age_Group],IF($H$4="All","*",$H$4))</f>
        <v>2125.97</v>
      </c>
    </row>
    <row r="23" customFormat="false" ht="15" hidden="false" customHeight="true" outlineLevel="0" collapsed="false">
      <c r="A23" s="42" t="s">
        <v>467</v>
      </c>
    </row>
    <row r="24" customFormat="false" ht="15" hidden="false" customHeight="true" outlineLevel="0" collapsed="false">
      <c r="A24" s="43" t="s">
        <v>466</v>
      </c>
      <c r="B24" s="43" t="s">
        <v>420</v>
      </c>
      <c r="C24" s="43" t="s">
        <v>468</v>
      </c>
    </row>
    <row r="25" customFormat="false" ht="15" hidden="false" customHeight="true" outlineLevel="0" collapsed="false">
      <c r="A25" s="44" t="s">
        <v>10</v>
      </c>
      <c r="B25" s="1" t="n">
        <f aca="false">COUNTIFS(CleanData[Policy_Type],IF($B$4="All","*",$B$4),CleanData[Claim_Status],A25,CleanData[Age_Group],IF($H$4="All","*",$H$4))</f>
        <v>130</v>
      </c>
      <c r="C25" s="26" t="n">
        <f aca="false">SUMIFS(CleanData[Claim_Amount],CleanData[Policy_Type],IF($B$4="All","*",$B$4),CleanData[Claim_Status],A25,CleanData[Age_Group],IF($H$4="All","*",$H$4))</f>
        <v>0</v>
      </c>
    </row>
    <row r="26" customFormat="false" ht="15" hidden="false" customHeight="true" outlineLevel="0" collapsed="false">
      <c r="A26" s="44" t="s">
        <v>17</v>
      </c>
      <c r="B26" s="1" t="n">
        <f aca="false">COUNTIFS(CleanData[Policy_Type],IF($B$4="All","*",$B$4),CleanData[Claim_Status],A26,CleanData[Age_Group],IF($H$4="All","*",$H$4))</f>
        <v>62</v>
      </c>
      <c r="C26" s="26" t="n">
        <f aca="false">SUMIFS(CleanData[Claim_Amount],CleanData[Policy_Type],IF($B$4="All","*",$B$4),CleanData[Claim_Status],A26,CleanData[Age_Group],IF($H$4="All","*",$H$4))</f>
        <v>128634.35</v>
      </c>
    </row>
    <row r="27" customFormat="false" ht="15" hidden="false" customHeight="true" outlineLevel="0" collapsed="false">
      <c r="A27" s="44" t="s">
        <v>13</v>
      </c>
      <c r="B27" s="1" t="n">
        <f aca="false">COUNTIFS(CleanData[Policy_Type],IF($B$4="All","*",$B$4),CleanData[Claim_Status],A27,CleanData[Age_Group],IF($H$4="All","*",$H$4))</f>
        <v>40</v>
      </c>
      <c r="C27" s="26" t="n">
        <f aca="false">SUMIFS(CleanData[Claim_Amount],CleanData[Policy_Type],IF($B$4="All","*",$B$4),CleanData[Claim_Status],A27,CleanData[Age_Group],IF($H$4="All","*",$H$4))</f>
        <v>84573.57</v>
      </c>
    </row>
    <row r="28" customFormat="false" ht="15" hidden="false" customHeight="true" outlineLevel="0" collapsed="false">
      <c r="A28" s="44" t="s">
        <v>30</v>
      </c>
      <c r="B28" s="1" t="n">
        <f aca="false">COUNTIFS(CleanData[Policy_Type],IF($B$4="All","*",$B$4),CleanData[Claim_Status],A28,CleanData[Age_Group],IF($H$4="All","*",$H$4))</f>
        <v>30</v>
      </c>
      <c r="C28" s="26" t="n">
        <f aca="false">SUMIFS(CleanData[Claim_Amount],CleanData[Policy_Type],IF($B$4="All","*",$B$4),CleanData[Claim_Status],A28,CleanData[Age_Group],IF($H$4="All","*",$H$4))</f>
        <v>63860.06</v>
      </c>
    </row>
    <row r="29" customFormat="false" ht="15" hidden="false" customHeight="true" outlineLevel="0" collapsed="false">
      <c r="A29" s="44" t="s">
        <v>38</v>
      </c>
      <c r="B29" s="1" t="n">
        <f aca="false">COUNTIFS(CleanData[Policy_Type],IF($B$4="All","*",$B$4),CleanData[Claim_Status],A29,CleanData[Age_Group],IF($H$4="All","*",$H$4))</f>
        <v>16</v>
      </c>
      <c r="C29" s="26" t="n">
        <f aca="false">SUMIFS(CleanData[Claim_Amount],CleanData[Policy_Type],IF($B$4="All","*",$B$4),CleanData[Claim_Status],A29,CleanData[Age_Group],IF($H$4="All","*",$H$4))</f>
        <v>22439.21</v>
      </c>
    </row>
  </sheetData>
  <mergeCells count="12">
    <mergeCell ref="A1:N1"/>
    <mergeCell ref="A3:N3"/>
    <mergeCell ref="A6:N6"/>
    <mergeCell ref="A7:B7"/>
    <mergeCell ref="D7:E7"/>
    <mergeCell ref="G7:H7"/>
    <mergeCell ref="J7:K7"/>
    <mergeCell ref="A8:B9"/>
    <mergeCell ref="D8:E9"/>
    <mergeCell ref="G8:H9"/>
    <mergeCell ref="J8:K9"/>
    <mergeCell ref="A12:N12"/>
  </mergeCells>
  <dataValidations count="3">
    <dataValidation allowBlank="false" errorStyle="stop" operator="between" showDropDown="false" showErrorMessage="false" showInputMessage="false" sqref="B4" type="list">
      <formula1>"All,Health,Motor,Life,Property,Travel"</formula1>
      <formula2>0</formula2>
    </dataValidation>
    <dataValidation allowBlank="false" errorStyle="stop" operator="between" showDropDown="false" showErrorMessage="false" showInputMessage="false" sqref="E4" type="list">
      <formula1>"All,No Claim,Approved,Pending,Rejected,Unknown"</formula1>
      <formula2>0</formula2>
    </dataValidation>
    <dataValidation allowBlank="false" errorStyle="stop" operator="between" showDropDown="false" showErrorMessage="false" showInputMessage="false" sqref="H4" type="list">
      <formula1>"All,Young (18-24),Adult (25-40),Mid-Age (41-60),Senior (60+)"</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N2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4" min="1" style="1" width="13"/>
  </cols>
  <sheetData>
    <row r="1" customFormat="false" ht="27.75" hidden="false" customHeight="true" outlineLevel="0" collapsed="false">
      <c r="A1" s="29" t="s">
        <v>469</v>
      </c>
      <c r="B1" s="29"/>
      <c r="C1" s="29"/>
      <c r="D1" s="29"/>
      <c r="E1" s="29"/>
      <c r="F1" s="29"/>
      <c r="G1" s="29"/>
      <c r="H1" s="29"/>
      <c r="I1" s="29"/>
      <c r="J1" s="29"/>
      <c r="K1" s="29"/>
      <c r="L1" s="29"/>
      <c r="M1" s="29"/>
      <c r="N1" s="29"/>
    </row>
    <row r="3" customFormat="false" ht="18" hidden="false" customHeight="true" outlineLevel="0" collapsed="false">
      <c r="A3" s="30" t="s">
        <v>454</v>
      </c>
      <c r="B3" s="30"/>
      <c r="C3" s="30"/>
      <c r="D3" s="30"/>
      <c r="E3" s="30"/>
      <c r="F3" s="30"/>
      <c r="G3" s="30"/>
      <c r="H3" s="30"/>
      <c r="I3" s="30"/>
      <c r="J3" s="30"/>
      <c r="K3" s="30"/>
      <c r="L3" s="30"/>
      <c r="M3" s="30"/>
      <c r="N3" s="30"/>
    </row>
    <row r="4" customFormat="false" ht="19.5" hidden="false" customHeight="true" outlineLevel="0" collapsed="false">
      <c r="A4" s="31" t="s">
        <v>455</v>
      </c>
      <c r="B4" s="32" t="s">
        <v>456</v>
      </c>
      <c r="D4" s="31" t="s">
        <v>457</v>
      </c>
      <c r="E4" s="32" t="s">
        <v>456</v>
      </c>
      <c r="G4" s="31" t="s">
        <v>458</v>
      </c>
      <c r="H4" s="32" t="s">
        <v>456</v>
      </c>
    </row>
    <row r="6" customFormat="false" ht="15" hidden="false" customHeight="true" outlineLevel="0" collapsed="false">
      <c r="A6" s="33" t="s">
        <v>459</v>
      </c>
      <c r="B6" s="33"/>
      <c r="C6" s="33"/>
      <c r="D6" s="33"/>
      <c r="E6" s="33"/>
      <c r="F6" s="33"/>
      <c r="G6" s="33"/>
      <c r="H6" s="33"/>
      <c r="I6" s="33"/>
      <c r="J6" s="33"/>
      <c r="K6" s="33"/>
      <c r="L6" s="33"/>
      <c r="M6" s="33"/>
      <c r="N6" s="33"/>
    </row>
    <row r="7" customFormat="false" ht="19.5" hidden="false" customHeight="true" outlineLevel="0" collapsed="false">
      <c r="A7" s="34" t="s">
        <v>470</v>
      </c>
      <c r="B7" s="34"/>
      <c r="D7" s="35" t="s">
        <v>471</v>
      </c>
      <c r="E7" s="35"/>
      <c r="G7" s="36" t="s">
        <v>472</v>
      </c>
      <c r="H7" s="36"/>
      <c r="J7" s="37" t="s">
        <v>473</v>
      </c>
      <c r="K7" s="37"/>
    </row>
    <row r="8" customFormat="false" ht="21.75" hidden="false" customHeight="true" outlineLevel="0" collapsed="false">
      <c r="A8" s="45" t="n">
        <f aca="false">IFERROR(AVERAGEIFS(CleanData[Premium],CleanData[Policy_Type],IF($B$4="All","*",$B$4),CleanData[Claim_Status],IF($E$4="All","*",$E$4),CleanData[Age_Group],IF($H$4="All","*",$H$4)),0)</f>
        <v>345.260251798561</v>
      </c>
      <c r="B8" s="45"/>
      <c r="D8" s="45" t="n">
        <f aca="false">IFERROR(AVERAGEIFS(CleanData[Claim_Amount],CleanData[Policy_Type],IF($B$4="All","*",$B$4),CleanData[Claim_Status],IF($E$4="All","*",$E$4),CleanData[Age_Group],IF($H$4="All","*",$H$4)),0)</f>
        <v>1077.36399280576</v>
      </c>
      <c r="E8" s="45"/>
      <c r="G8" s="46" t="n">
        <f aca="false">IFERROR(AVERAGEIFS(CleanData[Customer_Age],CleanData[Policy_Type],IF($B$4="All","*",$B$4),CleanData[Claim_Status],IF($E$4="All","*",$E$4),CleanData[Age_Group],IF($H$4="All","*",$H$4)),0)</f>
        <v>46.6223021582734</v>
      </c>
      <c r="H8" s="46"/>
      <c r="J8" s="47" t="n">
        <f aca="false">IFERROR(AVERAGEIFS(CleanData[Days_Open],CleanData[Policy_Type],IF($B$4="All","*",$B$4),CleanData[Claim_Status],IF($E$4="All","*",$E$4),CleanData[Age_Group],IF($H$4="All","*",$H$4)),0)</f>
        <v>231.561151079137</v>
      </c>
      <c r="K8" s="47"/>
    </row>
    <row r="9" customFormat="false" ht="15" hidden="false" customHeight="true" outlineLevel="0" collapsed="false">
      <c r="A9" s="45"/>
      <c r="B9" s="45"/>
      <c r="D9" s="45"/>
      <c r="E9" s="45"/>
      <c r="G9" s="46"/>
      <c r="H9" s="46"/>
      <c r="J9" s="47"/>
      <c r="K9" s="47"/>
    </row>
    <row r="12" customFormat="false" ht="15" hidden="false" customHeight="true" outlineLevel="0" collapsed="false">
      <c r="A12" s="41" t="s">
        <v>464</v>
      </c>
      <c r="B12" s="41"/>
      <c r="C12" s="41"/>
      <c r="D12" s="41"/>
      <c r="E12" s="41"/>
      <c r="F12" s="41"/>
      <c r="G12" s="41"/>
      <c r="H12" s="41"/>
      <c r="I12" s="41"/>
      <c r="J12" s="41"/>
      <c r="K12" s="41"/>
      <c r="L12" s="41"/>
      <c r="M12" s="41"/>
      <c r="N12" s="41"/>
    </row>
    <row r="14" customFormat="false" ht="15" hidden="false" customHeight="true" outlineLevel="0" collapsed="false">
      <c r="A14" s="42" t="s">
        <v>474</v>
      </c>
    </row>
    <row r="15" customFormat="false" ht="15" hidden="false" customHeight="true" outlineLevel="0" collapsed="false">
      <c r="A15" s="43" t="s">
        <v>466</v>
      </c>
      <c r="B15" s="43" t="s">
        <v>420</v>
      </c>
      <c r="C15" s="43" t="s">
        <v>416</v>
      </c>
    </row>
    <row r="16" customFormat="false" ht="15" hidden="false" customHeight="true" outlineLevel="0" collapsed="false">
      <c r="A16" s="44" t="s">
        <v>448</v>
      </c>
      <c r="B16" s="1" t="n">
        <f aca="false">COUNTIFS(CleanData[Policy_Type],IF($B$4="All","*",$B$4),CleanData[Claim_Status],IF($E$4="All","*",$E$4),CleanData[Age_Group],A16)</f>
        <v>37</v>
      </c>
      <c r="C16" s="26" t="n">
        <f aca="false">AVERAGEIFS(CleanData[Premium],CleanData[Policy_Type],IF($B$4="All","*",$B$4),CleanData[Claim_Status],IF($E$4="All","*",$E$4),CleanData[Age_Group],A16)</f>
        <v>345.790540540541</v>
      </c>
    </row>
    <row r="17" customFormat="false" ht="15" hidden="false" customHeight="true" outlineLevel="0" collapsed="false">
      <c r="A17" s="44" t="s">
        <v>449</v>
      </c>
      <c r="B17" s="1" t="n">
        <f aca="false">COUNTIFS(CleanData[Policy_Type],IF($B$4="All","*",$B$4),CleanData[Claim_Status],IF($E$4="All","*",$E$4),CleanData[Age_Group],A17)</f>
        <v>77</v>
      </c>
      <c r="C17" s="26" t="n">
        <f aca="false">AVERAGEIFS(CleanData[Premium],CleanData[Policy_Type],IF($B$4="All","*",$B$4),CleanData[Claim_Status],IF($E$4="All","*",$E$4),CleanData[Age_Group],A17)</f>
        <v>346.676623376623</v>
      </c>
    </row>
    <row r="18" customFormat="false" ht="15" hidden="false" customHeight="true" outlineLevel="0" collapsed="false">
      <c r="A18" s="44" t="s">
        <v>450</v>
      </c>
      <c r="B18" s="1" t="n">
        <f aca="false">COUNTIFS(CleanData[Policy_Type],IF($B$4="All","*",$B$4),CleanData[Claim_Status],IF($E$4="All","*",$E$4),CleanData[Age_Group],A18)</f>
        <v>94</v>
      </c>
      <c r="C18" s="26" t="n">
        <f aca="false">AVERAGEIFS(CleanData[Premium],CleanData[Policy_Type],IF($B$4="All","*",$B$4),CleanData[Claim_Status],IF($E$4="All","*",$E$4),CleanData[Age_Group],A18)</f>
        <v>334.782021276596</v>
      </c>
    </row>
    <row r="19" customFormat="false" ht="15" hidden="false" customHeight="true" outlineLevel="0" collapsed="false">
      <c r="A19" s="44" t="s">
        <v>451</v>
      </c>
      <c r="B19" s="1" t="n">
        <f aca="false">COUNTIFS(CleanData[Policy_Type],IF($B$4="All","*",$B$4),CleanData[Claim_Status],IF($E$4="All","*",$E$4),CleanData[Age_Group],A19)</f>
        <v>70</v>
      </c>
      <c r="C19" s="26" t="n">
        <f aca="false">AVERAGEIFS(CleanData[Premium],CleanData[Policy_Type],IF($B$4="All","*",$B$4),CleanData[Claim_Status],IF($E$4="All","*",$E$4),CleanData[Age_Group],A19)</f>
        <v>357.492714285714</v>
      </c>
    </row>
    <row r="22" customFormat="false" ht="15" hidden="false" customHeight="true" outlineLevel="0" collapsed="false">
      <c r="A22" s="42" t="s">
        <v>465</v>
      </c>
    </row>
    <row r="23" customFormat="false" ht="15" hidden="false" customHeight="true" outlineLevel="0" collapsed="false">
      <c r="A23" s="43" t="s">
        <v>466</v>
      </c>
      <c r="B23" s="43" t="s">
        <v>420</v>
      </c>
      <c r="C23" s="43" t="s">
        <v>417</v>
      </c>
    </row>
    <row r="24" customFormat="false" ht="15" hidden="false" customHeight="true" outlineLevel="0" collapsed="false">
      <c r="A24" s="44" t="s">
        <v>19</v>
      </c>
      <c r="B24" s="1" t="n">
        <f aca="false">COUNTIFS(CleanData[Policy_Type],A24,CleanData[Claim_Status],IF($E$4="All","*",$E$4),CleanData[Age_Group],IF($H$4="All","*",$H$4))</f>
        <v>95</v>
      </c>
      <c r="C24" s="26" t="n">
        <f aca="false">AVERAGEIFS(CleanData[Claim_Amount],CleanData[Policy_Type],A24,CleanData[Claim_Status],IF($E$4="All","*",$E$4),CleanData[Age_Group],IF($H$4="All","*",$H$4))</f>
        <v>1107.30442105263</v>
      </c>
    </row>
    <row r="25" customFormat="false" ht="15" hidden="false" customHeight="true" outlineLevel="0" collapsed="false">
      <c r="A25" s="44" t="s">
        <v>12</v>
      </c>
      <c r="B25" s="1" t="n">
        <f aca="false">COUNTIFS(CleanData[Policy_Type],A25,CleanData[Claim_Status],IF($E$4="All","*",$E$4),CleanData[Age_Group],IF($H$4="All","*",$H$4))</f>
        <v>61</v>
      </c>
      <c r="C25" s="26" t="n">
        <f aca="false">AVERAGEIFS(CleanData[Claim_Amount],CleanData[Policy_Type],A25,CleanData[Claim_Status],IF($E$4="All","*",$E$4),CleanData[Age_Group],IF($H$4="All","*",$H$4))</f>
        <v>863.767213114754</v>
      </c>
    </row>
    <row r="26" customFormat="false" ht="15" hidden="false" customHeight="true" outlineLevel="0" collapsed="false">
      <c r="A26" s="44" t="s">
        <v>9</v>
      </c>
      <c r="B26" s="1" t="n">
        <f aca="false">COUNTIFS(CleanData[Policy_Type],A26,CleanData[Claim_Status],IF($E$4="All","*",$E$4),CleanData[Age_Group],IF($H$4="All","*",$H$4))</f>
        <v>56</v>
      </c>
      <c r="C26" s="26" t="n">
        <f aca="false">AVERAGEIFS(CleanData[Claim_Amount],CleanData[Policy_Type],A26,CleanData[Claim_Status],IF($E$4="All","*",$E$4),CleanData[Age_Group],IF($H$4="All","*",$H$4))</f>
        <v>1151.09821428571</v>
      </c>
    </row>
    <row r="27" customFormat="false" ht="15" hidden="false" customHeight="true" outlineLevel="0" collapsed="false">
      <c r="A27" s="44" t="s">
        <v>16</v>
      </c>
      <c r="B27" s="1" t="n">
        <f aca="false">COUNTIFS(CleanData[Policy_Type],A27,CleanData[Claim_Status],IF($E$4="All","*",$E$4),CleanData[Age_Group],IF($H$4="All","*",$H$4))</f>
        <v>46</v>
      </c>
      <c r="C27" s="26" t="n">
        <f aca="false">AVERAGEIFS(CleanData[Claim_Amount],CleanData[Policy_Type],A27,CleanData[Claim_Status],IF($E$4="All","*",$E$4),CleanData[Age_Group],IF($H$4="All","*",$H$4))</f>
        <v>1502.69434782609</v>
      </c>
    </row>
    <row r="28" customFormat="false" ht="15" hidden="false" customHeight="true" outlineLevel="0" collapsed="false">
      <c r="A28" s="44" t="s">
        <v>40</v>
      </c>
      <c r="B28" s="1" t="n">
        <f aca="false">COUNTIFS(CleanData[Policy_Type],A28,CleanData[Claim_Status],IF($E$4="All","*",$E$4),CleanData[Age_Group],IF($H$4="All","*",$H$4))</f>
        <v>20</v>
      </c>
      <c r="C28" s="26" t="n">
        <f aca="false">AVERAGEIFS(CleanData[Claim_Amount],CleanData[Policy_Type],A28,CleanData[Claim_Status],IF($E$4="All","*",$E$4),CleanData[Age_Group],IF($H$4="All","*",$H$4))</f>
        <v>401.9015</v>
      </c>
    </row>
  </sheetData>
  <mergeCells count="12">
    <mergeCell ref="A1:N1"/>
    <mergeCell ref="A3:N3"/>
    <mergeCell ref="A6:N6"/>
    <mergeCell ref="A7:B7"/>
    <mergeCell ref="D7:E7"/>
    <mergeCell ref="G7:H7"/>
    <mergeCell ref="J7:K7"/>
    <mergeCell ref="A8:B9"/>
    <mergeCell ref="D8:E9"/>
    <mergeCell ref="G8:H9"/>
    <mergeCell ref="J8:K9"/>
    <mergeCell ref="A12:N12"/>
  </mergeCells>
  <dataValidations count="3">
    <dataValidation allowBlank="false" errorStyle="stop" operator="between" showDropDown="false" showErrorMessage="false" showInputMessage="false" sqref="B4" type="list">
      <formula1>"All,Health,Motor,Life,Property,Travel"</formula1>
      <formula2>0</formula2>
    </dataValidation>
    <dataValidation allowBlank="false" errorStyle="stop" operator="between" showDropDown="false" showErrorMessage="false" showInputMessage="false" sqref="E4" type="list">
      <formula1>"All,No Claim,Approved,Pending,Rejected,Unknown"</formula1>
      <formula2>0</formula2>
    </dataValidation>
    <dataValidation allowBlank="false" errorStyle="stop" operator="between" showDropDown="false" showErrorMessage="false" showInputMessage="false" sqref="H4" type="list">
      <formula1>"All,Young (18-24),Adult (25-40),Mid-Age (41-60),Senior (60+)"</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95"/>
  </cols>
  <sheetData>
    <row r="1" customFormat="false" ht="25.5" hidden="false" customHeight="true" outlineLevel="0" collapsed="false">
      <c r="A1" s="29" t="s">
        <v>475</v>
      </c>
      <c r="B1" s="29"/>
    </row>
    <row r="3" customFormat="false" ht="19.5" hidden="false" customHeight="true" outlineLevel="0" collapsed="false">
      <c r="A3" s="48" t="s">
        <v>476</v>
      </c>
      <c r="B3" s="48"/>
    </row>
    <row r="5" customFormat="false" ht="43.5" hidden="false" customHeight="true" outlineLevel="0" collapsed="false">
      <c r="A5" s="49" t="s">
        <v>477</v>
      </c>
      <c r="B5" s="50" t="s">
        <v>478</v>
      </c>
    </row>
    <row r="7" customFormat="false" ht="43.5" hidden="false" customHeight="true" outlineLevel="0" collapsed="false">
      <c r="A7" s="49" t="s">
        <v>479</v>
      </c>
      <c r="B7" s="51" t="s">
        <v>480</v>
      </c>
    </row>
    <row r="9" customFormat="false" ht="43.5" hidden="false" customHeight="true" outlineLevel="0" collapsed="false">
      <c r="A9" s="49" t="s">
        <v>481</v>
      </c>
      <c r="B9" s="50" t="s">
        <v>482</v>
      </c>
    </row>
    <row r="11" customFormat="false" ht="43.5" hidden="false" customHeight="true" outlineLevel="0" collapsed="false">
      <c r="A11" s="49" t="s">
        <v>483</v>
      </c>
      <c r="B11" s="51" t="s">
        <v>484</v>
      </c>
    </row>
    <row r="13" customFormat="false" ht="43.5" hidden="false" customHeight="true" outlineLevel="0" collapsed="false">
      <c r="A13" s="49" t="s">
        <v>485</v>
      </c>
      <c r="B13" s="50" t="s">
        <v>486</v>
      </c>
    </row>
    <row r="15" customFormat="false" ht="43.5" hidden="false" customHeight="true" outlineLevel="0" collapsed="false">
      <c r="A15" s="49" t="s">
        <v>487</v>
      </c>
      <c r="B15" s="51" t="s">
        <v>488</v>
      </c>
    </row>
    <row r="18" customFormat="false" ht="19.5" hidden="false" customHeight="true" outlineLevel="0" collapsed="false">
      <c r="A18" s="48" t="s">
        <v>489</v>
      </c>
      <c r="B18" s="48"/>
    </row>
    <row r="20" customFormat="false" ht="43.5" hidden="false" customHeight="true" outlineLevel="0" collapsed="false">
      <c r="A20" s="49" t="s">
        <v>477</v>
      </c>
      <c r="B20" s="52" t="s">
        <v>490</v>
      </c>
    </row>
    <row r="22" customFormat="false" ht="43.5" hidden="false" customHeight="true" outlineLevel="0" collapsed="false">
      <c r="A22" s="49" t="s">
        <v>479</v>
      </c>
      <c r="B22" s="52" t="s">
        <v>491</v>
      </c>
    </row>
    <row r="24" customFormat="false" ht="43.5" hidden="false" customHeight="true" outlineLevel="0" collapsed="false">
      <c r="A24" s="49" t="s">
        <v>481</v>
      </c>
      <c r="B24" s="52" t="s">
        <v>492</v>
      </c>
    </row>
  </sheetData>
  <mergeCells count="3">
    <mergeCell ref="A1:B1"/>
    <mergeCell ref="A3:B3"/>
    <mergeCell ref="A18:B18"/>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2026-08-25T11:36:09Z</dcterms:created>
  <dc:creator>openpyxl</dc:creator>
  <dc:description/>
  <dc:language>en-US</dc:language>
  <cp:lastModifiedBy/>
  <dcterms:modified xsi:type="dcterms:W3CDTF">2026-08-25T11:44:18Z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